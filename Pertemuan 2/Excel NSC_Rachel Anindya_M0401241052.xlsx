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EDAB774-A638-4F34-89D2-71027FA55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6" l="1"/>
  <c r="J2" i="6"/>
  <c r="I122" i="6"/>
  <c r="H122" i="6"/>
  <c r="I6" i="6"/>
  <c r="I7" i="6"/>
  <c r="I8" i="6"/>
  <c r="I9" i="6"/>
  <c r="I10" i="6"/>
  <c r="I11" i="6"/>
  <c r="I12" i="6"/>
  <c r="I13" i="6"/>
  <c r="I14" i="6"/>
  <c r="I18" i="6"/>
  <c r="I19" i="6"/>
  <c r="I20" i="6"/>
  <c r="I21" i="6"/>
  <c r="I22" i="6"/>
  <c r="I23" i="6"/>
  <c r="I24" i="6"/>
  <c r="I25" i="6"/>
  <c r="I26" i="6"/>
  <c r="I30" i="6"/>
  <c r="I31" i="6"/>
  <c r="I32" i="6"/>
  <c r="I33" i="6"/>
  <c r="I34" i="6"/>
  <c r="I35" i="6"/>
  <c r="I36" i="6"/>
  <c r="I37" i="6"/>
  <c r="I38" i="6"/>
  <c r="I42" i="6"/>
  <c r="I43" i="6"/>
  <c r="I44" i="6"/>
  <c r="I45" i="6"/>
  <c r="I46" i="6"/>
  <c r="I47" i="6"/>
  <c r="I48" i="6"/>
  <c r="I49" i="6"/>
  <c r="I50" i="6"/>
  <c r="I54" i="6"/>
  <c r="I55" i="6"/>
  <c r="I56" i="6"/>
  <c r="I57" i="6"/>
  <c r="I58" i="6"/>
  <c r="I59" i="6"/>
  <c r="I60" i="6"/>
  <c r="I61" i="6"/>
  <c r="I62" i="6"/>
  <c r="I66" i="6"/>
  <c r="I67" i="6"/>
  <c r="I68" i="6"/>
  <c r="I69" i="6"/>
  <c r="I70" i="6"/>
  <c r="I71" i="6"/>
  <c r="I72" i="6"/>
  <c r="I73" i="6"/>
  <c r="I74" i="6"/>
  <c r="I78" i="6"/>
  <c r="I79" i="6"/>
  <c r="I80" i="6"/>
  <c r="I81" i="6"/>
  <c r="I82" i="6"/>
  <c r="I83" i="6"/>
  <c r="I84" i="6"/>
  <c r="I85" i="6"/>
  <c r="I86" i="6"/>
  <c r="I90" i="6"/>
  <c r="I91" i="6"/>
  <c r="I92" i="6"/>
  <c r="I93" i="6"/>
  <c r="I94" i="6"/>
  <c r="I95" i="6"/>
  <c r="I96" i="6"/>
  <c r="I97" i="6"/>
  <c r="I98" i="6"/>
  <c r="I102" i="6"/>
  <c r="I103" i="6"/>
  <c r="I104" i="6"/>
  <c r="I105" i="6"/>
  <c r="I106" i="6"/>
  <c r="I107" i="6"/>
  <c r="I108" i="6"/>
  <c r="I109" i="6"/>
  <c r="I110" i="6"/>
  <c r="I114" i="6"/>
  <c r="I115" i="6"/>
  <c r="I116" i="6"/>
  <c r="I117" i="6"/>
  <c r="I118" i="6"/>
  <c r="I119" i="6"/>
  <c r="I120" i="6"/>
  <c r="I2" i="6"/>
  <c r="H9" i="6"/>
  <c r="H18" i="6"/>
  <c r="H19" i="6"/>
  <c r="H20" i="6"/>
  <c r="H21" i="6"/>
  <c r="H30" i="6"/>
  <c r="H31" i="6"/>
  <c r="H32" i="6"/>
  <c r="H33" i="6"/>
  <c r="H42" i="6"/>
  <c r="H43" i="6"/>
  <c r="H44" i="6"/>
  <c r="H45" i="6"/>
  <c r="H54" i="6"/>
  <c r="H55" i="6"/>
  <c r="H56" i="6"/>
  <c r="H57" i="6"/>
  <c r="H66" i="6"/>
  <c r="H67" i="6"/>
  <c r="H68" i="6"/>
  <c r="H69" i="6"/>
  <c r="H78" i="6"/>
  <c r="H79" i="6"/>
  <c r="H80" i="6"/>
  <c r="H81" i="6"/>
  <c r="H90" i="6"/>
  <c r="H91" i="6"/>
  <c r="H92" i="6"/>
  <c r="H93" i="6"/>
  <c r="H102" i="6"/>
  <c r="H103" i="6"/>
  <c r="H104" i="6"/>
  <c r="H105" i="6"/>
  <c r="H114" i="6"/>
  <c r="H115" i="6"/>
  <c r="H116" i="6"/>
  <c r="H117" i="6"/>
  <c r="H6" i="6"/>
  <c r="H7" i="6"/>
  <c r="H8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2" i="6"/>
  <c r="F3" i="6"/>
  <c r="I3" i="6" s="1"/>
  <c r="F4" i="6"/>
  <c r="I4" i="6" s="1"/>
  <c r="F5" i="6"/>
  <c r="I5" i="6" s="1"/>
  <c r="F6" i="6"/>
  <c r="F7" i="6"/>
  <c r="F8" i="6"/>
  <c r="F9" i="6"/>
  <c r="F10" i="6"/>
  <c r="H10" i="6" s="1"/>
  <c r="F11" i="6"/>
  <c r="H11" i="6" s="1"/>
  <c r="F12" i="6"/>
  <c r="H12" i="6" s="1"/>
  <c r="F13" i="6"/>
  <c r="H13" i="6" s="1"/>
  <c r="F14" i="6"/>
  <c r="H14" i="6" s="1"/>
  <c r="F15" i="6"/>
  <c r="I15" i="6" s="1"/>
  <c r="F16" i="6"/>
  <c r="I16" i="6" s="1"/>
  <c r="F17" i="6"/>
  <c r="H17" i="6" s="1"/>
  <c r="F18" i="6"/>
  <c r="F19" i="6"/>
  <c r="F20" i="6"/>
  <c r="F21" i="6"/>
  <c r="F22" i="6"/>
  <c r="H22" i="6" s="1"/>
  <c r="F23" i="6"/>
  <c r="H23" i="6" s="1"/>
  <c r="F24" i="6"/>
  <c r="H24" i="6" s="1"/>
  <c r="F25" i="6"/>
  <c r="H25" i="6" s="1"/>
  <c r="F26" i="6"/>
  <c r="H26" i="6" s="1"/>
  <c r="F27" i="6"/>
  <c r="I27" i="6" s="1"/>
  <c r="F28" i="6"/>
  <c r="I28" i="6" s="1"/>
  <c r="F29" i="6"/>
  <c r="I29" i="6" s="1"/>
  <c r="F30" i="6"/>
  <c r="F31" i="6"/>
  <c r="F32" i="6"/>
  <c r="F33" i="6"/>
  <c r="F34" i="6"/>
  <c r="H34" i="6" s="1"/>
  <c r="F35" i="6"/>
  <c r="H35" i="6" s="1"/>
  <c r="F36" i="6"/>
  <c r="H36" i="6" s="1"/>
  <c r="F37" i="6"/>
  <c r="H37" i="6" s="1"/>
  <c r="F38" i="6"/>
  <c r="H38" i="6" s="1"/>
  <c r="F39" i="6"/>
  <c r="I39" i="6" s="1"/>
  <c r="F40" i="6"/>
  <c r="I40" i="6" s="1"/>
  <c r="F41" i="6"/>
  <c r="H41" i="6" s="1"/>
  <c r="F42" i="6"/>
  <c r="F43" i="6"/>
  <c r="F44" i="6"/>
  <c r="F45" i="6"/>
  <c r="F46" i="6"/>
  <c r="H46" i="6" s="1"/>
  <c r="F47" i="6"/>
  <c r="H47" i="6" s="1"/>
  <c r="F48" i="6"/>
  <c r="H48" i="6" s="1"/>
  <c r="F49" i="6"/>
  <c r="H49" i="6" s="1"/>
  <c r="F50" i="6"/>
  <c r="H50" i="6" s="1"/>
  <c r="F51" i="6"/>
  <c r="I51" i="6" s="1"/>
  <c r="F52" i="6"/>
  <c r="I52" i="6" s="1"/>
  <c r="F53" i="6"/>
  <c r="I53" i="6" s="1"/>
  <c r="F54" i="6"/>
  <c r="F55" i="6"/>
  <c r="F56" i="6"/>
  <c r="F57" i="6"/>
  <c r="F58" i="6"/>
  <c r="H58" i="6" s="1"/>
  <c r="F59" i="6"/>
  <c r="H59" i="6" s="1"/>
  <c r="F60" i="6"/>
  <c r="H60" i="6" s="1"/>
  <c r="F61" i="6"/>
  <c r="H61" i="6" s="1"/>
  <c r="F62" i="6"/>
  <c r="H62" i="6" s="1"/>
  <c r="F63" i="6"/>
  <c r="I63" i="6" s="1"/>
  <c r="F64" i="6"/>
  <c r="H64" i="6" s="1"/>
  <c r="F65" i="6"/>
  <c r="I65" i="6" s="1"/>
  <c r="F66" i="6"/>
  <c r="F67" i="6"/>
  <c r="F68" i="6"/>
  <c r="F69" i="6"/>
  <c r="F70" i="6"/>
  <c r="H70" i="6" s="1"/>
  <c r="F71" i="6"/>
  <c r="H71" i="6" s="1"/>
  <c r="F72" i="6"/>
  <c r="H72" i="6" s="1"/>
  <c r="F73" i="6"/>
  <c r="H73" i="6" s="1"/>
  <c r="F74" i="6"/>
  <c r="H74" i="6" s="1"/>
  <c r="F75" i="6"/>
  <c r="I75" i="6" s="1"/>
  <c r="F76" i="6"/>
  <c r="I76" i="6" s="1"/>
  <c r="F77" i="6"/>
  <c r="H77" i="6" s="1"/>
  <c r="F78" i="6"/>
  <c r="F79" i="6"/>
  <c r="F80" i="6"/>
  <c r="F81" i="6"/>
  <c r="F82" i="6"/>
  <c r="H82" i="6" s="1"/>
  <c r="F83" i="6"/>
  <c r="H83" i="6" s="1"/>
  <c r="F84" i="6"/>
  <c r="H84" i="6" s="1"/>
  <c r="F85" i="6"/>
  <c r="H85" i="6" s="1"/>
  <c r="F86" i="6"/>
  <c r="H86" i="6" s="1"/>
  <c r="F87" i="6"/>
  <c r="I87" i="6" s="1"/>
  <c r="F88" i="6"/>
  <c r="I88" i="6" s="1"/>
  <c r="F89" i="6"/>
  <c r="H89" i="6" s="1"/>
  <c r="F90" i="6"/>
  <c r="F91" i="6"/>
  <c r="F92" i="6"/>
  <c r="F93" i="6"/>
  <c r="F94" i="6"/>
  <c r="H94" i="6" s="1"/>
  <c r="F95" i="6"/>
  <c r="H95" i="6" s="1"/>
  <c r="F96" i="6"/>
  <c r="H96" i="6" s="1"/>
  <c r="F97" i="6"/>
  <c r="H97" i="6" s="1"/>
  <c r="F98" i="6"/>
  <c r="H98" i="6" s="1"/>
  <c r="F99" i="6"/>
  <c r="I99" i="6" s="1"/>
  <c r="F100" i="6"/>
  <c r="I100" i="6" s="1"/>
  <c r="F101" i="6"/>
  <c r="I101" i="6" s="1"/>
  <c r="F102" i="6"/>
  <c r="F103" i="6"/>
  <c r="F104" i="6"/>
  <c r="F105" i="6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I111" i="6" s="1"/>
  <c r="F112" i="6"/>
  <c r="I112" i="6" s="1"/>
  <c r="F113" i="6"/>
  <c r="I113" i="6" s="1"/>
  <c r="F114" i="6"/>
  <c r="F115" i="6"/>
  <c r="F116" i="6"/>
  <c r="F117" i="6"/>
  <c r="F118" i="6"/>
  <c r="H118" i="6" s="1"/>
  <c r="F119" i="6"/>
  <c r="H119" i="6" s="1"/>
  <c r="F120" i="6"/>
  <c r="H120" i="6" s="1"/>
  <c r="F2" i="6"/>
  <c r="H101" i="6" l="1"/>
  <c r="H65" i="6"/>
  <c r="H29" i="6"/>
  <c r="H112" i="6"/>
  <c r="H100" i="6"/>
  <c r="H52" i="6"/>
  <c r="H40" i="6"/>
  <c r="H28" i="6"/>
  <c r="H16" i="6"/>
  <c r="H5" i="6"/>
  <c r="H111" i="6"/>
  <c r="H99" i="6"/>
  <c r="H87" i="6"/>
  <c r="H75" i="6"/>
  <c r="H63" i="6"/>
  <c r="H51" i="6"/>
  <c r="H39" i="6"/>
  <c r="H27" i="6"/>
  <c r="H15" i="6"/>
  <c r="H113" i="6"/>
  <c r="H53" i="6"/>
  <c r="H88" i="6"/>
  <c r="I89" i="6"/>
  <c r="I77" i="6"/>
  <c r="I41" i="6"/>
  <c r="I17" i="6"/>
  <c r="H76" i="6"/>
  <c r="H4" i="6"/>
  <c r="H3" i="6"/>
  <c r="I64" i="6"/>
</calcChain>
</file>

<file path=xl/sharedStrings.xml><?xml version="1.0" encoding="utf-8"?>
<sst xmlns="http://schemas.openxmlformats.org/spreadsheetml/2006/main" count="2276" uniqueCount="1713">
  <si>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</si>
  <si>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</si>
  <si>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</si>
  <si>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</si>
  <si>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</si>
  <si>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</si>
  <si>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</si>
  <si>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</si>
  <si>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</si>
  <si>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</si>
  <si>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</si>
  <si>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</si>
  <si>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</si>
  <si>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</si>
  <si>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</si>
  <si>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</si>
  <si>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</si>
  <si>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</si>
  <si>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</si>
  <si>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</si>
  <si>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</si>
  <si>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</si>
  <si>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</si>
  <si>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</si>
  <si>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</si>
  <si>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</si>
  <si>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</si>
  <si>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</si>
  <si>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</si>
  <si>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</si>
  <si>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</si>
  <si>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</si>
  <si>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</si>
  <si>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</si>
  <si>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</si>
  <si>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</si>
  <si>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</si>
  <si>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</si>
  <si>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</si>
  <si>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</si>
  <si>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</si>
  <si>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</si>
  <si>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</si>
  <si>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</si>
  <si>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</si>
  <si>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</si>
  <si>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</si>
  <si>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</si>
  <si>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</si>
  <si>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</si>
  <si>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</si>
  <si>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</si>
  <si>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</si>
  <si>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</si>
  <si>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</si>
  <si>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</si>
  <si>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</si>
  <si>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</si>
  <si>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</si>
  <si>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</si>
  <si>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</si>
  <si>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</si>
  <si>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</si>
  <si>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</si>
  <si>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</si>
  <si>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</si>
  <si>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</si>
  <si>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</si>
  <si>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</si>
  <si>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</si>
  <si>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</si>
  <si>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</si>
  <si>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</si>
  <si>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</si>
  <si>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</si>
  <si>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</si>
  <si>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</si>
  <si>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</si>
  <si>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</si>
  <si>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</si>
  <si>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</si>
  <si>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</si>
  <si>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</si>
  <si>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</si>
  <si>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</si>
  <si>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</si>
  <si>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</si>
  <si>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</si>
  <si>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</si>
  <si>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</si>
  <si>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</si>
  <si>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</si>
  <si>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</si>
  <si>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</si>
  <si>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</si>
  <si>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</si>
  <si>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</si>
  <si>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</si>
  <si>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</si>
  <si>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</si>
  <si>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</si>
  <si>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</si>
  <si>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</si>
  <si>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</si>
  <si>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</si>
  <si>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</si>
  <si>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</si>
  <si>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</si>
  <si>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</si>
  <si>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</si>
  <si>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</si>
  <si>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</si>
  <si>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</si>
  <si>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</si>
  <si>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</si>
  <si>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</si>
  <si>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</si>
  <si>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</si>
  <si>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</si>
  <si>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</si>
  <si>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</si>
  <si>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</si>
  <si>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</si>
  <si>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</si>
  <si>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</si>
  <si>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</si>
  <si>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</si>
  <si>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</si>
  <si>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</si>
  <si>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</si>
  <si>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</si>
  <si>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</si>
  <si>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</si>
  <si>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</si>
  <si>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</si>
  <si>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</si>
  <si>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</si>
  <si>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</si>
  <si>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</si>
  <si>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</si>
  <si>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</si>
  <si>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</si>
  <si>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</si>
  <si>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</si>
  <si>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</si>
  <si>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</si>
  <si>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</si>
  <si>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</si>
  <si>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</si>
  <si>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</si>
  <si>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</si>
  <si>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</si>
  <si>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</si>
  <si>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</si>
  <si>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</si>
  <si>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</si>
  <si>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</si>
  <si>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</si>
  <si>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</si>
  <si>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</si>
  <si>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</si>
  <si>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</si>
  <si>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</si>
  <si>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</si>
  <si>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</si>
  <si>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</si>
  <si>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</si>
  <si>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</si>
  <si>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</si>
  <si>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</si>
  <si>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</si>
  <si>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</si>
  <si>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</si>
  <si>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</si>
  <si>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</si>
  <si>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</si>
  <si>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</si>
  <si>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</si>
  <si>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</si>
  <si>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</si>
  <si>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</si>
  <si>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</si>
  <si>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</si>
  <si>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</si>
  <si>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</si>
  <si>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</si>
  <si>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</si>
  <si>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</si>
  <si>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</si>
  <si>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</si>
  <si>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</si>
  <si>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</si>
  <si>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</si>
  <si>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</si>
  <si>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</si>
  <si>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</si>
  <si>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</si>
  <si>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</si>
  <si>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</si>
  <si>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</si>
  <si>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</si>
  <si>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</si>
  <si>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</si>
  <si>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</si>
  <si>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</si>
  <si>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</si>
  <si>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</si>
  <si>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</si>
  <si>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</si>
  <si>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</si>
  <si>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</si>
  <si>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</si>
  <si>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</si>
  <si>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</si>
  <si>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</si>
  <si>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</si>
  <si>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</si>
  <si>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</si>
  <si>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</si>
  <si>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</si>
  <si>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</si>
  <si>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</si>
  <si>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</si>
  <si>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</si>
  <si>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</si>
  <si>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</si>
  <si>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</si>
  <si>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</si>
  <si>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</si>
  <si>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</si>
  <si>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</si>
  <si>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</si>
  <si>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</si>
  <si>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</si>
  <si>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</si>
  <si>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</si>
  <si>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</si>
  <si>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</si>
  <si>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</si>
  <si>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</si>
  <si>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</si>
  <si>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</si>
  <si>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</si>
  <si>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</si>
  <si>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</si>
  <si>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</si>
  <si>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</si>
  <si>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</si>
  <si>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</si>
  <si>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</si>
  <si>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</si>
  <si>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</si>
  <si>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</si>
  <si>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</si>
  <si>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</si>
  <si>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</si>
  <si>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</si>
  <si>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</si>
  <si>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</si>
  <si>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</si>
  <si>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</si>
  <si>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</si>
  <si>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</si>
  <si>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</si>
  <si>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</si>
  <si>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</si>
  <si>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</si>
  <si>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</si>
  <si>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</si>
  <si>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</si>
  <si>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</si>
  <si>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</si>
  <si>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</si>
  <si>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</si>
  <si>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</si>
  <si>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</si>
  <si>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</si>
  <si>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</si>
  <si>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</si>
  <si>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</si>
  <si>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</si>
  <si>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</si>
  <si>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</si>
  <si>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</si>
  <si>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</si>
  <si>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</si>
  <si>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</si>
  <si>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</si>
  <si>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</si>
  <si>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</si>
  <si>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</si>
  <si>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</si>
  <si>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</si>
  <si>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</si>
  <si>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</si>
  <si>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</si>
  <si>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</si>
  <si>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</si>
  <si>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</si>
  <si>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</si>
  <si>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</si>
  <si>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</si>
  <si>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</si>
  <si>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</si>
  <si>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</si>
  <si>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</si>
  <si>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</si>
  <si>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</si>
  <si>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</si>
  <si>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</si>
  <si>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</si>
  <si>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</si>
  <si>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</si>
  <si>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</si>
  <si>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</si>
  <si>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</si>
  <si>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</si>
  <si>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</si>
  <si>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</si>
  <si>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</si>
  <si>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</si>
  <si>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</si>
  <si>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</si>
  <si>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</si>
  <si>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</si>
  <si>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</si>
  <si>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</si>
  <si>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</si>
  <si>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</si>
  <si>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</si>
  <si>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</si>
  <si>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</si>
  <si>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</si>
  <si>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</si>
  <si>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</si>
  <si>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</si>
  <si>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</si>
  <si>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</si>
  <si>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</si>
  <si>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</si>
  <si>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</si>
  <si>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</si>
  <si>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</si>
  <si>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</si>
  <si>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</si>
  <si>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</si>
  <si>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</si>
  <si>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</si>
  <si>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</si>
  <si>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</si>
  <si>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</si>
  <si>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</si>
  <si>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</si>
  <si>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</si>
  <si>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</si>
  <si>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</si>
  <si>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</si>
  <si>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</si>
  <si>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</si>
  <si>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</si>
  <si>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</si>
  <si>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</si>
  <si>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</si>
  <si>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</si>
  <si>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</si>
  <si>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</si>
  <si>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</si>
  <si>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</si>
  <si>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</si>
  <si>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</si>
  <si>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</si>
  <si>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</si>
  <si>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</si>
  <si>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</si>
  <si>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</si>
  <si>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</si>
  <si>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</si>
  <si>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</si>
  <si>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</si>
  <si>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</si>
  <si>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</si>
  <si>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</si>
  <si>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</si>
  <si>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</si>
  <si>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</si>
  <si>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</si>
  <si>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</si>
  <si>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</si>
  <si>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</si>
  <si>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</si>
  <si>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</si>
  <si>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</si>
  <si>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</si>
  <si>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</si>
  <si>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</si>
  <si>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</si>
  <si>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</si>
  <si>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</si>
  <si>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</si>
  <si>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</si>
  <si>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</si>
  <si>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</si>
  <si>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</si>
  <si>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</si>
  <si>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</si>
  <si>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</si>
  <si>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</si>
  <si>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</si>
  <si>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</si>
  <si>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</si>
  <si>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</si>
  <si>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</si>
  <si>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</si>
  <si>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</si>
  <si>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</si>
  <si>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</si>
  <si>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</si>
  <si>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</si>
  <si>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</si>
  <si>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</si>
  <si>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</si>
  <si>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</si>
  <si>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</si>
  <si>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</si>
  <si>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</si>
  <si>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</si>
  <si>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</si>
  <si>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</si>
  <si>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</si>
  <si>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</si>
  <si>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</si>
  <si>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</si>
  <si>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</si>
  <si>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</si>
  <si>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</si>
  <si>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</si>
  <si>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</si>
  <si>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</si>
  <si>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</si>
  <si>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</si>
  <si>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</si>
  <si>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</si>
  <si>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</si>
  <si>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</si>
  <si>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</si>
  <si>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</si>
  <si>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</si>
  <si>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</si>
  <si>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</si>
  <si>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</si>
  <si>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</si>
  <si>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</si>
  <si>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</si>
  <si>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</si>
  <si>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</si>
  <si>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</si>
  <si>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</si>
  <si>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</si>
  <si>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</si>
  <si>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</si>
  <si>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</si>
  <si>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</si>
  <si>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</si>
  <si>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</si>
  <si>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</si>
  <si>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</si>
  <si>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</si>
  <si>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</si>
  <si>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</si>
  <si>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</si>
  <si>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</si>
  <si>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</si>
  <si>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</si>
  <si>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</si>
  <si>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</si>
  <si>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</si>
  <si>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</si>
  <si>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</si>
  <si>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</si>
  <si>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</si>
  <si>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</si>
  <si>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</si>
  <si>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</si>
  <si>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</si>
  <si>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</si>
  <si>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</si>
  <si>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</si>
  <si>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</si>
  <si>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</si>
  <si>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</si>
  <si>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</si>
  <si>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</si>
  <si>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</si>
  <si>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</si>
  <si>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</si>
  <si>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</si>
  <si>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</si>
  <si>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</si>
  <si>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</si>
  <si>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</si>
  <si>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</si>
  <si>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</si>
  <si>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</si>
  <si>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</si>
  <si>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</si>
  <si>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</si>
  <si>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</si>
  <si>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</si>
  <si>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</si>
  <si>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</si>
  <si>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</si>
  <si>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</si>
  <si>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</si>
  <si>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</si>
  <si>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</si>
  <si>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</si>
  <si>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</si>
  <si>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</si>
  <si>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</si>
  <si>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</si>
  <si>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</si>
  <si>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</si>
  <si>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</si>
  <si>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</si>
  <si>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</si>
  <si>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</si>
  <si>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</si>
  <si>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</si>
  <si>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</si>
  <si>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</si>
  <si>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</si>
  <si>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</si>
  <si>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</si>
  <si>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</si>
  <si>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</si>
  <si>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</si>
  <si>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</si>
  <si>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</si>
  <si>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</si>
  <si>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</si>
  <si>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</si>
  <si>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</si>
  <si>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</si>
  <si>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</si>
  <si>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</si>
  <si>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</si>
  <si>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</si>
  <si>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</si>
  <si>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</si>
  <si>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</si>
  <si>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</si>
  <si>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</si>
  <si>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</si>
  <si>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</si>
  <si>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</si>
  <si>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</si>
  <si>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</si>
  <si>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</si>
  <si>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</si>
  <si>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</si>
  <si>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</si>
  <si>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</si>
  <si>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</si>
  <si>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</si>
  <si>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</si>
  <si>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</si>
  <si>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</si>
  <si>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</si>
  <si>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</si>
  <si>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</si>
  <si>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</si>
  <si>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</si>
  <si>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</si>
  <si>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</si>
  <si>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</si>
  <si>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</si>
  <si>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</si>
  <si>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</si>
  <si>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</si>
  <si>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</si>
  <si>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</si>
  <si>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</si>
  <si>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</si>
  <si>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</si>
  <si>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</si>
  <si>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</si>
  <si>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</si>
  <si>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</si>
  <si>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</si>
  <si>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</si>
  <si>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</si>
  <si>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</si>
  <si>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</si>
  <si>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</si>
  <si>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</si>
  <si>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</si>
  <si>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</si>
  <si>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</si>
  <si>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</si>
  <si>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</si>
  <si>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</si>
  <si>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</si>
  <si>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</si>
  <si>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</si>
  <si>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</si>
  <si>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</si>
  <si>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</si>
  <si>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</si>
  <si>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</si>
  <si>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</si>
  <si>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</si>
  <si>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</si>
  <si>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</si>
  <si>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</si>
  <si>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</si>
  <si>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</si>
  <si>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</si>
  <si>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</si>
  <si>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</si>
  <si>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</si>
  <si>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</si>
  <si>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</si>
  <si>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</si>
  <si>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</si>
  <si>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</si>
  <si>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</si>
  <si>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</si>
  <si>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</si>
  <si>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</si>
  <si>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</si>
  <si>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</si>
  <si>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</si>
  <si>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</si>
  <si>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</si>
  <si>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</si>
  <si>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</si>
  <si>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</si>
  <si>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</si>
  <si>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</si>
  <si>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</si>
  <si>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</si>
  <si>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</si>
  <si>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</si>
  <si>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</si>
  <si>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</si>
  <si>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</si>
  <si>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</si>
  <si>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</si>
  <si>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</si>
  <si>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</si>
  <si>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</si>
  <si>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</si>
  <si>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</si>
  <si>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</si>
  <si>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</si>
  <si>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</si>
  <si>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</si>
  <si>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</si>
  <si>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</si>
  <si>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</si>
  <si>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</si>
  <si>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</si>
  <si>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</si>
  <si>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</si>
  <si>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</si>
  <si>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</si>
  <si>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</si>
  <si>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</si>
  <si>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</si>
  <si>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</si>
  <si>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</si>
  <si>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</si>
  <si>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</si>
  <si>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</si>
  <si>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</si>
  <si>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</si>
  <si>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</si>
  <si>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</si>
  <si>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</si>
  <si>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</si>
  <si>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</si>
  <si>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</si>
  <si>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</si>
  <si>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</si>
  <si>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</si>
  <si>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</si>
  <si>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</si>
  <si>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</si>
  <si>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</si>
  <si>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</si>
  <si>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</si>
  <si>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</si>
  <si>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</si>
  <si>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</si>
  <si>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</si>
  <si>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</si>
  <si>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</si>
  <si>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</si>
  <si>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</si>
  <si>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</si>
  <si>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</si>
  <si>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</si>
  <si>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</si>
  <si>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</si>
  <si>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</si>
  <si>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</si>
  <si>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</si>
  <si>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</si>
  <si>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</si>
  <si>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</si>
  <si>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</si>
  <si>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</si>
  <si>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</si>
  <si>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</si>
  <si>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</si>
  <si>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</si>
  <si>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</si>
  <si>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</si>
  <si>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</si>
  <si>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</si>
  <si>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</si>
  <si>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</si>
  <si>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</si>
  <si>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</si>
  <si>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</si>
  <si>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</si>
  <si>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</si>
  <si>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</si>
  <si>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</si>
  <si>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</si>
  <si>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</si>
  <si>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</si>
  <si>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</si>
  <si>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</si>
  <si>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</si>
  <si>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</si>
  <si>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</si>
  <si>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</si>
  <si>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</si>
  <si>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</si>
  <si>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</si>
  <si>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</si>
  <si>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</si>
  <si>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</si>
  <si>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</si>
  <si>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</si>
  <si>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</si>
  <si>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</si>
  <si>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</si>
  <si>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</si>
  <si>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</si>
  <si>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</si>
  <si>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</si>
  <si>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</si>
  <si>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</si>
  <si>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</si>
  <si>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</si>
  <si>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</si>
  <si>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</si>
  <si>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</si>
  <si>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</si>
  <si>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</si>
  <si>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</si>
  <si>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</si>
  <si>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</si>
  <si>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</si>
  <si>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</si>
  <si>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</si>
  <si>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</si>
  <si>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</si>
  <si>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</si>
  <si>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</si>
  <si>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</si>
  <si>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</si>
  <si>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</si>
  <si>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</si>
  <si>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</si>
  <si>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</si>
  <si>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</si>
  <si>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</si>
  <si>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</si>
  <si>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</si>
  <si>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</si>
  <si>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</si>
  <si>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</si>
  <si>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</si>
  <si>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</si>
  <si>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</si>
  <si>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</si>
  <si>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</si>
  <si>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</si>
  <si>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</si>
  <si>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</si>
  <si>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</si>
  <si>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</si>
  <si>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</si>
  <si>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</si>
  <si>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</si>
  <si>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</si>
  <si>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</si>
  <si>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</si>
  <si>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</si>
  <si>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</si>
  <si>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</si>
  <si>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</si>
  <si>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</si>
  <si>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</si>
  <si>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</si>
  <si>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</si>
  <si>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</si>
  <si>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</si>
  <si>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</si>
  <si>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</si>
  <si>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</si>
  <si>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</si>
  <si>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</si>
  <si>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</si>
  <si>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</si>
  <si>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</si>
  <si>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</si>
  <si>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</si>
  <si>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</si>
  <si>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</si>
  <si>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</si>
  <si>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</si>
  <si>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</si>
  <si>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</si>
  <si>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</si>
  <si>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</si>
  <si>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</si>
  <si>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</si>
  <si>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</si>
  <si>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</si>
  <si>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</si>
  <si>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</si>
  <si>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</si>
  <si>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</si>
  <si>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</si>
  <si>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</si>
  <si>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</si>
  <si>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</si>
  <si>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</si>
  <si>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</si>
  <si>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</si>
  <si>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</si>
  <si>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</si>
  <si>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</si>
  <si>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</si>
  <si>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</si>
  <si>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</si>
  <si>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</si>
  <si>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</si>
  <si>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</si>
  <si>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</si>
  <si>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</si>
  <si>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</si>
  <si>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</si>
  <si>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</si>
  <si>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</si>
  <si>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</si>
  <si>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</si>
  <si>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</si>
  <si>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</si>
  <si>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</si>
  <si>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</si>
  <si>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</si>
  <si>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</si>
  <si>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</si>
  <si>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</si>
  <si>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</si>
  <si>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</si>
  <si>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</si>
  <si>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</si>
  <si>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</si>
  <si>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</si>
  <si>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</si>
  <si>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</si>
  <si>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</si>
  <si>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</si>
  <si>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</si>
  <si>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</si>
  <si>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</si>
  <si>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</si>
  <si>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</si>
  <si>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</si>
  <si>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</si>
  <si>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</si>
  <si>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</si>
  <si>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</si>
  <si>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</si>
  <si>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</si>
  <si>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</si>
  <si>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</si>
  <si>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</si>
  <si>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</si>
  <si>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</si>
  <si>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</si>
  <si>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</si>
  <si>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</si>
  <si>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</si>
  <si>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</si>
  <si>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</si>
  <si>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</si>
  <si>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</si>
  <si>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</si>
  <si>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</si>
  <si>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</si>
  <si>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</si>
  <si>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</si>
  <si>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</si>
  <si>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</si>
  <si>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</si>
  <si>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</si>
  <si>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</si>
  <si>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</si>
  <si>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</si>
  <si>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</si>
  <si>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</si>
  <si>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</si>
  <si>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</si>
  <si>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</si>
  <si>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</si>
  <si>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</si>
  <si>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</si>
  <si>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</si>
  <si>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</si>
  <si>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</si>
  <si>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</si>
  <si>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</si>
  <si>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</si>
  <si>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</si>
  <si>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</si>
  <si>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</si>
  <si>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</si>
  <si>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</si>
  <si>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</si>
  <si>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</si>
  <si>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</si>
  <si>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</si>
  <si>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</si>
  <si>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</si>
  <si>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</si>
  <si>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</si>
  <si>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</si>
  <si>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</si>
  <si>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</si>
  <si>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</si>
  <si>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</si>
  <si>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</si>
  <si>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</si>
  <si>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</si>
  <si>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</si>
  <si>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</si>
  <si>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</si>
  <si>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</si>
  <si>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</si>
  <si>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</si>
  <si>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</si>
  <si>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</si>
  <si>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</si>
  <si>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</si>
  <si>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</si>
  <si>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</si>
  <si>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</si>
  <si>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</si>
  <si>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</si>
  <si>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</si>
  <si>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</si>
  <si>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</si>
  <si>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</si>
  <si>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</si>
  <si>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</si>
  <si>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</si>
  <si>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</si>
  <si>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</si>
  <si>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</si>
  <si>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</si>
  <si>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</si>
  <si>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</si>
  <si>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</si>
  <si>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</si>
  <si>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</si>
  <si>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</si>
  <si>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</si>
  <si>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</si>
  <si>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</si>
  <si>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</si>
  <si>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</si>
  <si>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</si>
  <si>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</si>
  <si>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</si>
  <si>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</si>
  <si>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</si>
  <si>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</si>
  <si>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</si>
  <si>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</si>
  <si>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</si>
  <si>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</si>
  <si>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</si>
  <si>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</si>
  <si>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</si>
  <si>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</si>
  <si>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</si>
  <si>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</si>
  <si>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</si>
  <si>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</si>
  <si>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</si>
  <si>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</si>
  <si>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</si>
  <si>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</si>
  <si>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</si>
  <si>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</si>
  <si>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</si>
  <si>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</si>
  <si>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</si>
  <si>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</si>
  <si>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</si>
  <si>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</si>
  <si>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</si>
  <si>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</si>
  <si>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</si>
  <si>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</si>
  <si>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</si>
  <si>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</si>
  <si>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</si>
  <si>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</si>
  <si>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</si>
  <si>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</si>
  <si>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</si>
  <si>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</si>
  <si>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</si>
  <si>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</si>
  <si>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</si>
  <si>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</si>
  <si>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</si>
  <si>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</si>
  <si>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</si>
  <si>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</si>
  <si>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</si>
  <si>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</si>
  <si>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</si>
  <si>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</si>
  <si>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</si>
  <si>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</si>
  <si>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</si>
  <si>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</si>
  <si>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</si>
  <si>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</si>
  <si>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</si>
  <si>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</si>
  <si>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</si>
  <si>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</si>
  <si>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</si>
  <si>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</si>
  <si>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</si>
  <si>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</si>
  <si>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</si>
  <si>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</si>
  <si>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</si>
  <si>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</si>
  <si>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</si>
  <si>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</si>
  <si>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</si>
  <si>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</si>
  <si>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</si>
  <si>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</si>
  <si>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</si>
  <si>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</si>
  <si>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</si>
  <si>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</si>
  <si>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</si>
  <si>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</si>
  <si>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</si>
  <si>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</si>
  <si>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</si>
  <si>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</si>
  <si>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</si>
  <si>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</si>
  <si>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</si>
  <si>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</si>
  <si>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</si>
  <si>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</si>
  <si>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</si>
  <si>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</si>
  <si>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</si>
  <si>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</si>
  <si>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</si>
  <si>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</si>
  <si>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</si>
  <si>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</si>
  <si>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</si>
  <si>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</si>
  <si>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</si>
  <si>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</si>
  <si>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</si>
  <si>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</si>
  <si>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</si>
  <si>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</si>
  <si>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</si>
  <si>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</si>
  <si>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</si>
  <si>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</si>
  <si>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</si>
  <si>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</si>
  <si>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</si>
  <si>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</si>
  <si>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</si>
  <si>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</si>
  <si>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</si>
  <si>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</si>
  <si>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</si>
  <si>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</si>
  <si>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</si>
  <si>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</si>
  <si>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</si>
  <si>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</si>
  <si>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</si>
  <si>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</si>
  <si>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</si>
  <si>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</si>
  <si>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</si>
  <si>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</si>
  <si>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</si>
  <si>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</si>
  <si>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</si>
  <si>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</si>
  <si>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</si>
  <si>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</si>
  <si>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</si>
  <si>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</si>
  <si>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</si>
  <si>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</si>
  <si>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</si>
  <si>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</si>
  <si>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</si>
  <si>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</si>
  <si>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</si>
  <si>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</si>
  <si>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</si>
  <si>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</si>
  <si>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</si>
  <si>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</si>
  <si>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</si>
  <si>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</si>
  <si>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</si>
  <si>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</si>
  <si>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</si>
  <si>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</si>
  <si>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</si>
  <si>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</si>
  <si>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</si>
  <si>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</si>
  <si>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</si>
  <si>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</si>
  <si>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</si>
  <si>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</si>
  <si>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</si>
  <si>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</si>
  <si>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</si>
  <si>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</si>
  <si>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</si>
  <si>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</si>
  <si>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</si>
  <si>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</si>
  <si>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</si>
  <si>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</si>
  <si>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</si>
  <si>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</si>
  <si>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</si>
  <si>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</si>
  <si>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</si>
  <si>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</si>
  <si>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</si>
  <si>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</si>
  <si>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</si>
  <si>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</si>
  <si>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</si>
  <si>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</si>
  <si>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</si>
  <si>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</si>
  <si>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</si>
  <si>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</si>
  <si>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</si>
  <si>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</si>
  <si>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</si>
  <si>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</si>
  <si>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</si>
  <si>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</si>
  <si>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</si>
  <si>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</si>
  <si>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</si>
  <si>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</si>
  <si>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</si>
  <si>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</si>
  <si>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</si>
  <si>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</si>
  <si>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</si>
  <si>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</si>
  <si>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</si>
  <si>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</si>
  <si>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</si>
  <si>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</si>
  <si>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</si>
  <si>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</si>
  <si>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</si>
  <si>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</si>
  <si>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</si>
  <si>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</si>
  <si>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</si>
  <si>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</si>
  <si>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</si>
  <si>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</si>
  <si>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</si>
  <si>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</si>
  <si>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</si>
  <si>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</si>
  <si>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</si>
  <si>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</si>
  <si>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</si>
  <si>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</si>
  <si>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</si>
  <si>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</si>
  <si>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</si>
  <si>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</si>
  <si>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</si>
  <si>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</si>
  <si>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</si>
  <si>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</si>
  <si>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</si>
  <si>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</si>
  <si>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</si>
  <si>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</si>
  <si>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</si>
  <si>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</si>
  <si>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</si>
  <si>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</si>
  <si>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</si>
  <si>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</si>
  <si>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</si>
  <si>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</si>
  <si>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</si>
  <si>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</si>
  <si>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</si>
  <si>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</si>
  <si>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</si>
  <si>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</si>
  <si>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</si>
  <si>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</si>
  <si>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</si>
  <si>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</si>
  <si>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</si>
  <si>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</si>
  <si>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</si>
  <si>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</si>
  <si>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</si>
  <si>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</si>
  <si>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</si>
  <si>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</si>
  <si>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</si>
  <si>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</si>
  <si>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</si>
  <si>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</si>
  <si>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</si>
  <si>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</si>
  <si>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</si>
  <si>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</si>
  <si>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</si>
  <si>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</si>
  <si>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</si>
  <si>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</si>
  <si>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</si>
  <si>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</si>
  <si>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</si>
  <si>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</si>
  <si>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</si>
  <si>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</si>
  <si>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</si>
  <si>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</si>
  <si>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</si>
  <si>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</si>
  <si>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</si>
  <si>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</si>
  <si>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</si>
  <si>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</si>
  <si>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</si>
  <si>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</si>
  <si>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</si>
  <si>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</si>
  <si>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</si>
  <si>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</si>
  <si>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</si>
  <si>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</si>
  <si>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</si>
  <si>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</si>
  <si>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</si>
  <si>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</si>
  <si>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</si>
  <si>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</si>
  <si>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</si>
  <si>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</si>
  <si>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</si>
  <si>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</si>
  <si>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</si>
  <si>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</si>
  <si>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</si>
  <si>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</si>
  <si>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</si>
  <si>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</si>
  <si>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</si>
  <si>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</si>
  <si>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</si>
  <si>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</si>
  <si>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</si>
  <si>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</si>
  <si>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</si>
  <si>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</si>
  <si>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</si>
  <si>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</si>
  <si>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</si>
  <si>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</si>
  <si>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</si>
  <si>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</si>
  <si>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</si>
  <si>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</si>
  <si>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</si>
  <si>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</si>
  <si>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</si>
  <si>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</si>
  <si>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</si>
  <si>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</si>
  <si>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</si>
  <si>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</si>
  <si>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</si>
  <si>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</si>
  <si>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</si>
  <si>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</si>
  <si>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</si>
  <si>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</si>
  <si>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</si>
  <si>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</si>
  <si>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</si>
  <si>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</si>
  <si>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</si>
  <si>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</si>
  <si>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</si>
  <si>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</si>
  <si>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</si>
  <si>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</si>
  <si>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</si>
  <si>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</si>
  <si>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</si>
  <si>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</si>
  <si>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</si>
  <si>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</si>
  <si>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</si>
  <si>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</si>
  <si>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</si>
  <si>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</si>
  <si>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</si>
  <si>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</si>
  <si>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</si>
  <si>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</si>
  <si>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</si>
  <si>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</si>
  <si>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</si>
  <si>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</si>
  <si>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</si>
  <si>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</si>
  <si>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</si>
  <si>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</si>
  <si>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</si>
  <si>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</si>
  <si>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</si>
  <si>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</si>
  <si>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</si>
  <si>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</si>
  <si>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</si>
  <si>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</si>
  <si>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</si>
  <si>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</si>
  <si>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</si>
  <si>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</si>
  <si>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</si>
  <si>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</si>
  <si>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</si>
  <si>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</si>
  <si>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</si>
  <si>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</si>
  <si>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</si>
  <si>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</si>
  <si>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</si>
  <si>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</si>
  <si>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</si>
  <si>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</si>
  <si>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</si>
  <si>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</si>
  <si>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</si>
  <si>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</si>
  <si>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</si>
  <si>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</si>
  <si>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</si>
  <si>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</si>
  <si>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</si>
  <si>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</si>
  <si>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</si>
  <si>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</si>
  <si>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</si>
  <si>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</si>
  <si>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</si>
  <si>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</si>
  <si>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</si>
  <si>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</si>
  <si>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</si>
  <si>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</si>
  <si>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</si>
  <si>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</si>
  <si>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</si>
  <si>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</si>
  <si>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</si>
  <si>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</si>
  <si>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</si>
  <si>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</si>
  <si>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</si>
  <si>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</si>
  <si>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</si>
  <si>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</si>
  <si>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</si>
  <si>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</si>
  <si>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</si>
  <si>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</si>
  <si>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</si>
  <si>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</si>
  <si>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</si>
  <si>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</si>
  <si>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</si>
  <si>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</si>
  <si>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</si>
  <si>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</si>
  <si>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</si>
  <si>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</si>
  <si>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</si>
  <si>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</si>
  <si>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</si>
  <si>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</si>
  <si>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</si>
  <si>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</si>
  <si>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</si>
  <si>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</si>
  <si>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</si>
  <si>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</si>
  <si>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</si>
  <si>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</si>
  <si>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</si>
  <si>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</si>
  <si>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</si>
  <si>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</si>
  <si>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</si>
  <si>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</si>
  <si>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</si>
  <si>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</si>
  <si>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</si>
  <si>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</si>
  <si>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</si>
  <si>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</si>
  <si>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</si>
  <si>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</si>
  <si>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</si>
  <si>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</si>
  <si>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</si>
  <si>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</si>
  <si>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</si>
  <si>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</si>
  <si>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</si>
  <si>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</si>
  <si>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</si>
  <si>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</si>
  <si>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</si>
  <si>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</si>
  <si>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</si>
  <si>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</si>
  <si>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</si>
  <si>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</si>
  <si>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</si>
  <si>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</si>
  <si>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</si>
  <si>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</si>
  <si>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</si>
  <si>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</si>
  <si>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</si>
  <si>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</si>
  <si>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</si>
  <si>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</si>
  <si>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</si>
  <si>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</si>
  <si>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</si>
  <si>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</si>
  <si>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</si>
  <si>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</si>
  <si>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</si>
  <si>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</si>
  <si>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</si>
  <si>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</si>
  <si>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</si>
  <si>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</si>
  <si>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</si>
  <si>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</si>
  <si>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</si>
  <si>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</si>
  <si>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</si>
  <si>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</si>
  <si>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</si>
  <si>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</si>
  <si>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</si>
  <si>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</si>
  <si>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</si>
  <si>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</si>
  <si>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</si>
  <si>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</si>
  <si>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</si>
  <si>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</si>
  <si>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</si>
  <si>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</si>
  <si>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</si>
  <si>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</si>
  <si>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</si>
  <si>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</si>
  <si>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</si>
  <si>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</si>
  <si>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</si>
  <si>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</si>
  <si>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</si>
  <si>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</si>
  <si>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</si>
  <si>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</si>
  <si>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</si>
  <si>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</si>
  <si>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</si>
  <si>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</si>
  <si>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</si>
  <si>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</si>
  <si>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</si>
  <si>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</si>
  <si>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</si>
  <si>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</si>
  <si>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</si>
  <si>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</si>
  <si>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</si>
  <si>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</si>
  <si>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</si>
  <si>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</si>
  <si>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</si>
  <si>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</si>
  <si>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</si>
  <si>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</si>
  <si>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</si>
  <si>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</si>
  <si>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</si>
  <si>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</si>
  <si>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</si>
  <si>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</si>
  <si>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</si>
  <si>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</si>
  <si>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</si>
  <si>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</si>
  <si>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</si>
  <si>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</si>
  <si>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</si>
  <si>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</si>
  <si>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</si>
  <si>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</si>
  <si>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</si>
  <si>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</si>
  <si>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</si>
  <si>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</si>
  <si>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</si>
  <si>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</si>
  <si>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</si>
  <si>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</si>
  <si>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</si>
  <si>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</si>
  <si>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</si>
  <si>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</si>
  <si>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</si>
  <si>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</si>
  <si>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</si>
  <si>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</si>
  <si>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</si>
  <si>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</si>
  <si>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</si>
  <si>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</si>
  <si>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</si>
  <si>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</si>
  <si>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</si>
  <si>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</si>
  <si>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</si>
  <si>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</si>
  <si>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</si>
  <si>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</si>
  <si>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</si>
  <si>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</si>
  <si>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</si>
  <si>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</si>
  <si>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</si>
  <si>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</si>
  <si>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</si>
  <si>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</si>
  <si>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</si>
  <si>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</si>
  <si>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</si>
  <si>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</si>
  <si>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</si>
  <si>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</si>
  <si>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</si>
  <si>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</si>
  <si>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</si>
  <si>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</si>
  <si>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</si>
  <si>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</si>
  <si>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</si>
  <si>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</si>
  <si>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</si>
  <si>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</si>
  <si>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</si>
  <si>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</si>
  <si>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</si>
  <si>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</si>
  <si>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</si>
  <si>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</si>
  <si>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</si>
  <si>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</si>
  <si>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</si>
  <si>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</si>
  <si>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</si>
  <si>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</si>
  <si>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</si>
  <si>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</si>
  <si>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</si>
  <si>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</si>
  <si>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</si>
  <si>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</si>
  <si>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</si>
  <si>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</si>
  <si>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</si>
  <si>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</si>
  <si>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</si>
  <si>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</si>
  <si>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</si>
  <si>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</si>
  <si>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</si>
  <si>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</si>
  <si>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</si>
  <si>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</si>
  <si>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</si>
  <si>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</si>
  <si>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</si>
  <si>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</si>
  <si>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</si>
  <si>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</si>
  <si>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</si>
  <si>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</si>
  <si>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</si>
  <si>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</si>
  <si>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</si>
  <si>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</si>
  <si>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</si>
  <si>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</si>
  <si>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</si>
  <si>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</si>
  <si>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</si>
  <si>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</si>
  <si>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</si>
  <si>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</si>
  <si>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</si>
  <si>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</si>
  <si>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</si>
  <si>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</si>
  <si>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</si>
  <si>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</si>
  <si>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</si>
  <si>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</si>
  <si>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</si>
  <si>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</si>
  <si>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</si>
  <si>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</si>
  <si>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</si>
  <si>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</si>
  <si>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</si>
  <si>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</si>
  <si>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</si>
  <si>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</si>
  <si>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</si>
  <si>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</si>
  <si>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</si>
  <si>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</si>
  <si>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</si>
  <si>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</si>
  <si>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</si>
  <si>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</si>
  <si>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</si>
  <si>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</si>
  <si>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</si>
  <si>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</si>
  <si>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</si>
  <si>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</si>
  <si>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</si>
  <si>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 xml:space="preserve">x̄ </t>
  </si>
  <si>
    <t>ȳ</t>
  </si>
  <si>
    <t>(xi − x̄)</t>
  </si>
  <si>
    <t>(yi − ȳ)</t>
  </si>
  <si>
    <t>(xi − x̄)(yi − ȳ)</t>
  </si>
  <si>
    <t>(xi − x̄)²</t>
  </si>
  <si>
    <t>β₁</t>
  </si>
  <si>
    <t>β₀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</si>
</sst>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0" fillId="7" borderId="0" xfId="0" applyFill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2"/>
  <sheetViews>
    <sheetView tabSelected="1" workbookViewId="0">
      <selection activeCell="J16" sqref="J16"/>
    </sheetView>
  </sheetViews>
  <sheetFormatPr defaultRowHeight="12.5" x14ac:dyDescent="0.25"/>
  <cols>
    <col min="1" max="1" width="29.81640625" customWidth="1"/>
    <col min="2" max="2" width="27.54296875" customWidth="1"/>
    <col min="3" max="3" width="25.26953125" customWidth="1"/>
    <col min="8" max="8" width="13.1796875" customWidth="1"/>
  </cols>
  <sheetData>
    <row r="1" spans="1:11" ht="13.15" customHeight="1" x14ac:dyDescent="0.25">
      <c r="A1" s="22" t="s">
        <v>1</v>
      </c>
      <c r="B1" s="23" t="s">
        <v>2</v>
      </c>
      <c r="C1" s="24" t="s">
        <v>3</v>
      </c>
      <c r="D1" s="25" t="s">
        <v>1705</v>
      </c>
      <c r="E1" s="25" t="s">
        <v>1706</v>
      </c>
      <c r="F1" s="25" t="s">
        <v>1707</v>
      </c>
      <c r="G1" s="25" t="s">
        <v>1708</v>
      </c>
      <c r="H1" s="25" t="s">
        <v>1709</v>
      </c>
      <c r="I1" s="25" t="s">
        <v>1710</v>
      </c>
      <c r="J1" s="25" t="s">
        <v>1711</v>
      </c>
      <c r="K1" s="10" t="s">
        <v>1712</v>
      </c>
    </row>
    <row r="2" spans="1:11" x14ac:dyDescent="0.25">
      <c r="A2" s="21" t="s">
        <v>588</v>
      </c>
      <c r="B2" s="21">
        <v>76.69</v>
      </c>
      <c r="C2" s="21">
        <v>9.26</v>
      </c>
      <c r="D2" s="26">
        <v>8.8323529999999995</v>
      </c>
      <c r="E2" s="26">
        <v>75.746129999999994</v>
      </c>
      <c r="F2" s="26">
        <f>C2-D2</f>
        <v>0.42764700000000033</v>
      </c>
      <c r="G2" s="26">
        <f>B2-E2</f>
        <v>0.94387000000000398</v>
      </c>
      <c r="H2" s="26">
        <f>F2*G2</f>
        <v>0.40364317389000204</v>
      </c>
      <c r="I2" s="26">
        <f>F2^2</f>
        <v>0.18288195660900028</v>
      </c>
      <c r="J2" s="26">
        <f>H122/I122</f>
        <v>2.8749767427562065</v>
      </c>
      <c r="K2">
        <f>E2-J2*D2</f>
        <v>50.353320541186989</v>
      </c>
    </row>
    <row r="3" spans="1:11" x14ac:dyDescent="0.25">
      <c r="A3" s="21" t="s">
        <v>591</v>
      </c>
      <c r="B3" s="21">
        <v>87.57</v>
      </c>
      <c r="C3" s="21">
        <v>11.95</v>
      </c>
      <c r="D3" s="26">
        <v>8.8323529999999995</v>
      </c>
      <c r="E3" s="26">
        <v>75.746129999999994</v>
      </c>
      <c r="F3" s="26">
        <f t="shared" ref="F3:F66" si="0">C3-D3</f>
        <v>3.1176469999999998</v>
      </c>
      <c r="G3" s="26">
        <f t="shared" ref="G3:G66" si="1">B3-E3</f>
        <v>11.823869999999999</v>
      </c>
      <c r="H3" s="26">
        <f t="shared" ref="H3:H66" si="2">F3*G3</f>
        <v>36.862652833889996</v>
      </c>
      <c r="I3" s="26">
        <f t="shared" ref="I3:I66" si="3">F3^2</f>
        <v>9.7197228166089982</v>
      </c>
      <c r="J3" s="26"/>
    </row>
    <row r="4" spans="1:11" x14ac:dyDescent="0.25">
      <c r="A4" s="21" t="s">
        <v>594</v>
      </c>
      <c r="B4" s="21">
        <v>84.76</v>
      </c>
      <c r="C4" s="21">
        <v>11.99</v>
      </c>
      <c r="D4" s="26">
        <v>8.8323529999999995</v>
      </c>
      <c r="E4" s="26">
        <v>75.746129999999994</v>
      </c>
      <c r="F4" s="26">
        <f t="shared" si="0"/>
        <v>3.1576470000000008</v>
      </c>
      <c r="G4" s="26">
        <f t="shared" si="1"/>
        <v>9.0138700000000114</v>
      </c>
      <c r="H4" s="26">
        <f t="shared" si="2"/>
        <v>28.462619563890044</v>
      </c>
      <c r="I4" s="26">
        <f t="shared" si="3"/>
        <v>9.9707345766090043</v>
      </c>
      <c r="J4" s="26"/>
    </row>
    <row r="5" spans="1:11" x14ac:dyDescent="0.25">
      <c r="A5" s="21" t="s">
        <v>598</v>
      </c>
      <c r="B5" s="21">
        <v>83.75</v>
      </c>
      <c r="C5" s="21">
        <v>11.61</v>
      </c>
      <c r="D5" s="26">
        <v>8.8323529999999995</v>
      </c>
      <c r="E5" s="26">
        <v>75.746129999999994</v>
      </c>
      <c r="F5" s="26">
        <f t="shared" si="0"/>
        <v>2.777647</v>
      </c>
      <c r="G5" s="26">
        <f t="shared" si="1"/>
        <v>8.0038700000000063</v>
      </c>
      <c r="H5" s="26">
        <f t="shared" si="2"/>
        <v>22.231925493890017</v>
      </c>
      <c r="I5" s="26">
        <f t="shared" si="3"/>
        <v>7.7153228566090002</v>
      </c>
      <c r="J5" s="26"/>
    </row>
    <row r="6" spans="1:11" x14ac:dyDescent="0.25">
      <c r="A6" s="21" t="s">
        <v>602</v>
      </c>
      <c r="B6" s="21">
        <v>84.4</v>
      </c>
      <c r="C6" s="21">
        <v>11.24</v>
      </c>
      <c r="D6" s="26">
        <v>8.8323529999999995</v>
      </c>
      <c r="E6" s="26">
        <v>75.746129999999994</v>
      </c>
      <c r="F6" s="26">
        <f t="shared" si="0"/>
        <v>2.4076470000000008</v>
      </c>
      <c r="G6" s="26">
        <f t="shared" si="1"/>
        <v>8.6538700000000119</v>
      </c>
      <c r="H6" s="26">
        <f t="shared" si="2"/>
        <v>20.835464143890036</v>
      </c>
      <c r="I6" s="26">
        <f t="shared" si="3"/>
        <v>5.7967640766090041</v>
      </c>
      <c r="J6" s="26"/>
    </row>
    <row r="7" spans="1:11" x14ac:dyDescent="0.25">
      <c r="A7" s="21" t="s">
        <v>606</v>
      </c>
      <c r="B7" s="21">
        <v>82.13</v>
      </c>
      <c r="C7" s="21">
        <v>10.85</v>
      </c>
      <c r="D7" s="26">
        <v>8.8323529999999995</v>
      </c>
      <c r="E7" s="26">
        <v>75.746129999999994</v>
      </c>
      <c r="F7" s="26">
        <f t="shared" si="0"/>
        <v>2.0176470000000002</v>
      </c>
      <c r="G7" s="26">
        <f t="shared" si="1"/>
        <v>6.3838700000000017</v>
      </c>
      <c r="H7" s="26">
        <f t="shared" si="2"/>
        <v>12.880396153890004</v>
      </c>
      <c r="I7" s="26">
        <f t="shared" si="3"/>
        <v>4.0708994166090005</v>
      </c>
      <c r="J7" s="26"/>
    </row>
    <row r="8" spans="1:11" x14ac:dyDescent="0.25">
      <c r="A8" s="21" t="s">
        <v>611</v>
      </c>
      <c r="B8" s="21">
        <v>73.63</v>
      </c>
      <c r="C8" s="21">
        <v>8.89</v>
      </c>
      <c r="D8" s="26">
        <v>8.8323529999999995</v>
      </c>
      <c r="E8" s="26">
        <v>75.746129999999994</v>
      </c>
      <c r="F8" s="26">
        <f t="shared" si="0"/>
        <v>5.7647000000001114E-2</v>
      </c>
      <c r="G8" s="26">
        <f t="shared" si="1"/>
        <v>-2.1161299999999983</v>
      </c>
      <c r="H8" s="26">
        <f t="shared" si="2"/>
        <v>-0.12198854611000226</v>
      </c>
      <c r="I8" s="26">
        <f t="shared" si="3"/>
        <v>3.3231766090001283E-3</v>
      </c>
      <c r="J8" s="26"/>
    </row>
    <row r="9" spans="1:11" x14ac:dyDescent="0.25">
      <c r="A9" s="21" t="s">
        <v>615</v>
      </c>
      <c r="B9" s="21">
        <v>70.180000000000007</v>
      </c>
      <c r="C9" s="21">
        <v>7.75</v>
      </c>
      <c r="D9" s="26">
        <v>8.8323529999999995</v>
      </c>
      <c r="E9" s="26">
        <v>75.746129999999994</v>
      </c>
      <c r="F9" s="26">
        <f t="shared" si="0"/>
        <v>-1.0823529999999995</v>
      </c>
      <c r="G9" s="26">
        <f t="shared" si="1"/>
        <v>-5.5661299999999869</v>
      </c>
      <c r="H9" s="26">
        <f t="shared" si="2"/>
        <v>6.0245175038899825</v>
      </c>
      <c r="I9" s="26">
        <f t="shared" si="3"/>
        <v>1.1714880166089989</v>
      </c>
      <c r="J9" s="26"/>
    </row>
    <row r="10" spans="1:11" x14ac:dyDescent="0.25">
      <c r="A10" s="21" t="s">
        <v>619</v>
      </c>
      <c r="B10" s="21">
        <v>68.89</v>
      </c>
      <c r="C10" s="21">
        <v>7.91</v>
      </c>
      <c r="D10" s="26">
        <v>8.8323529999999995</v>
      </c>
      <c r="E10" s="26">
        <v>75.746129999999994</v>
      </c>
      <c r="F10" s="26">
        <f t="shared" si="0"/>
        <v>-0.92235299999999931</v>
      </c>
      <c r="G10" s="26">
        <f t="shared" si="1"/>
        <v>-6.8561299999999932</v>
      </c>
      <c r="H10" s="26">
        <f t="shared" si="2"/>
        <v>6.3237720738899892</v>
      </c>
      <c r="I10" s="26">
        <f t="shared" si="3"/>
        <v>0.85073505660899873</v>
      </c>
      <c r="J10" s="26"/>
    </row>
    <row r="11" spans="1:11" x14ac:dyDescent="0.25">
      <c r="A11" s="21" t="s">
        <v>621</v>
      </c>
      <c r="B11" s="21">
        <v>74.59</v>
      </c>
      <c r="C11" s="21">
        <v>9.4499999999999993</v>
      </c>
      <c r="D11" s="26">
        <v>8.8323529999999995</v>
      </c>
      <c r="E11" s="26">
        <v>75.746129999999994</v>
      </c>
      <c r="F11" s="26">
        <f t="shared" si="0"/>
        <v>0.61764699999999984</v>
      </c>
      <c r="G11" s="26">
        <f t="shared" si="1"/>
        <v>-1.1561299999999903</v>
      </c>
      <c r="H11" s="26">
        <f t="shared" si="2"/>
        <v>-0.71408022610999389</v>
      </c>
      <c r="I11" s="26">
        <f t="shared" si="3"/>
        <v>0.38148781660899977</v>
      </c>
      <c r="J11" s="26"/>
    </row>
    <row r="12" spans="1:11" x14ac:dyDescent="0.25">
      <c r="A12" s="21" t="s">
        <v>625</v>
      </c>
      <c r="B12" s="21">
        <v>69.91</v>
      </c>
      <c r="C12" s="21">
        <v>8.31</v>
      </c>
      <c r="D12" s="26">
        <v>8.8323529999999995</v>
      </c>
      <c r="E12" s="26">
        <v>75.746129999999994</v>
      </c>
      <c r="F12" s="26">
        <f t="shared" si="0"/>
        <v>-0.52235299999999896</v>
      </c>
      <c r="G12" s="26">
        <f t="shared" si="1"/>
        <v>-5.8361299999999972</v>
      </c>
      <c r="H12" s="26">
        <f t="shared" si="2"/>
        <v>3.0485200138899926</v>
      </c>
      <c r="I12" s="26">
        <f t="shared" si="3"/>
        <v>0.27285265660899893</v>
      </c>
      <c r="J12" s="26"/>
    </row>
    <row r="13" spans="1:11" x14ac:dyDescent="0.25">
      <c r="A13" s="21" t="s">
        <v>629</v>
      </c>
      <c r="B13" s="21">
        <v>69.98</v>
      </c>
      <c r="C13" s="21">
        <v>8.32</v>
      </c>
      <c r="D13" s="26">
        <v>8.8323529999999995</v>
      </c>
      <c r="E13" s="26">
        <v>75.746129999999994</v>
      </c>
      <c r="F13" s="26">
        <f t="shared" si="0"/>
        <v>-0.51235299999999917</v>
      </c>
      <c r="G13" s="26">
        <f t="shared" si="1"/>
        <v>-5.7661299999999898</v>
      </c>
      <c r="H13" s="26">
        <f t="shared" si="2"/>
        <v>2.9542940038899901</v>
      </c>
      <c r="I13" s="26">
        <f t="shared" si="3"/>
        <v>0.26250559660899914</v>
      </c>
      <c r="J13" s="26"/>
    </row>
    <row r="14" spans="1:11" x14ac:dyDescent="0.25">
      <c r="A14" s="21" t="s">
        <v>631</v>
      </c>
      <c r="B14" s="21">
        <v>73.64</v>
      </c>
      <c r="C14" s="21">
        <v>8.33</v>
      </c>
      <c r="D14" s="26">
        <v>8.8323529999999995</v>
      </c>
      <c r="E14" s="26">
        <v>75.746129999999994</v>
      </c>
      <c r="F14" s="26">
        <f t="shared" si="0"/>
        <v>-0.50235299999999938</v>
      </c>
      <c r="G14" s="26">
        <f t="shared" si="1"/>
        <v>-2.1061299999999932</v>
      </c>
      <c r="H14" s="26">
        <f t="shared" si="2"/>
        <v>1.0580207238899952</v>
      </c>
      <c r="I14" s="26">
        <f t="shared" si="3"/>
        <v>0.25235853660899937</v>
      </c>
      <c r="J14" s="26"/>
    </row>
    <row r="15" spans="1:11" x14ac:dyDescent="0.25">
      <c r="A15" s="21" t="s">
        <v>634</v>
      </c>
      <c r="B15" s="21">
        <v>71.56</v>
      </c>
      <c r="C15" s="21">
        <v>8.18</v>
      </c>
      <c r="D15" s="26">
        <v>8.8323529999999995</v>
      </c>
      <c r="E15" s="26">
        <v>75.746129999999994</v>
      </c>
      <c r="F15" s="26">
        <f t="shared" si="0"/>
        <v>-0.65235299999999974</v>
      </c>
      <c r="G15" s="26">
        <f t="shared" si="1"/>
        <v>-4.1861299999999915</v>
      </c>
      <c r="H15" s="26">
        <f t="shared" si="2"/>
        <v>2.7308344638899933</v>
      </c>
      <c r="I15" s="26">
        <f t="shared" si="3"/>
        <v>0.42556443660899967</v>
      </c>
      <c r="J15" s="26"/>
    </row>
    <row r="16" spans="1:11" x14ac:dyDescent="0.25">
      <c r="A16" s="21" t="s">
        <v>637</v>
      </c>
      <c r="B16" s="21">
        <v>72.3</v>
      </c>
      <c r="C16" s="21">
        <v>8.06</v>
      </c>
      <c r="D16" s="26">
        <v>8.8323529999999995</v>
      </c>
      <c r="E16" s="26">
        <v>75.746129999999994</v>
      </c>
      <c r="F16" s="26">
        <f t="shared" si="0"/>
        <v>-0.77235299999999896</v>
      </c>
      <c r="G16" s="26">
        <f t="shared" si="1"/>
        <v>-3.4461299999999966</v>
      </c>
      <c r="H16" s="26">
        <f t="shared" si="2"/>
        <v>2.6616288438899938</v>
      </c>
      <c r="I16" s="26">
        <f t="shared" si="3"/>
        <v>0.59652915660899841</v>
      </c>
      <c r="J16" s="26"/>
    </row>
    <row r="17" spans="1:10" x14ac:dyDescent="0.25">
      <c r="A17" s="21" t="s">
        <v>641</v>
      </c>
      <c r="B17" s="21">
        <v>71.37</v>
      </c>
      <c r="C17" s="21">
        <v>7.99</v>
      </c>
      <c r="D17" s="26">
        <v>8.8323529999999995</v>
      </c>
      <c r="E17" s="26">
        <v>75.746129999999994</v>
      </c>
      <c r="F17" s="26">
        <f t="shared" si="0"/>
        <v>-0.84235299999999924</v>
      </c>
      <c r="G17" s="26">
        <f t="shared" si="1"/>
        <v>-4.3761299999999892</v>
      </c>
      <c r="H17" s="26">
        <f t="shared" si="2"/>
        <v>3.6862462338899875</v>
      </c>
      <c r="I17" s="26">
        <f t="shared" si="3"/>
        <v>0.70955857660899868</v>
      </c>
      <c r="J17" s="26"/>
    </row>
    <row r="18" spans="1:10" x14ac:dyDescent="0.25">
      <c r="A18" s="21" t="s">
        <v>644</v>
      </c>
      <c r="B18" s="21">
        <v>74.569999999999993</v>
      </c>
      <c r="C18" s="21">
        <v>8.86</v>
      </c>
      <c r="D18" s="26">
        <v>8.8323529999999995</v>
      </c>
      <c r="E18" s="26">
        <v>75.746129999999994</v>
      </c>
      <c r="F18" s="26">
        <f t="shared" si="0"/>
        <v>2.7646999999999977E-2</v>
      </c>
      <c r="G18" s="26">
        <f t="shared" si="1"/>
        <v>-1.1761300000000006</v>
      </c>
      <c r="H18" s="26">
        <f t="shared" si="2"/>
        <v>-3.2516466109999989E-2</v>
      </c>
      <c r="I18" s="26">
        <f t="shared" si="3"/>
        <v>7.6435660899999876E-4</v>
      </c>
      <c r="J18" s="26"/>
    </row>
    <row r="19" spans="1:10" x14ac:dyDescent="0.25">
      <c r="A19" s="21" t="s">
        <v>647</v>
      </c>
      <c r="B19" s="21">
        <v>70.72</v>
      </c>
      <c r="C19" s="21">
        <v>7.45</v>
      </c>
      <c r="D19" s="26">
        <v>8.8323529999999995</v>
      </c>
      <c r="E19" s="26">
        <v>75.746129999999994</v>
      </c>
      <c r="F19" s="26">
        <f t="shared" si="0"/>
        <v>-1.3823529999999993</v>
      </c>
      <c r="G19" s="26">
        <f t="shared" si="1"/>
        <v>-5.0261299999999949</v>
      </c>
      <c r="H19" s="26">
        <f t="shared" si="2"/>
        <v>6.9478858838899891</v>
      </c>
      <c r="I19" s="26">
        <f t="shared" si="3"/>
        <v>1.9108998166089981</v>
      </c>
      <c r="J19" s="26"/>
    </row>
    <row r="20" spans="1:10" x14ac:dyDescent="0.25">
      <c r="A20" s="21" t="s">
        <v>651</v>
      </c>
      <c r="B20" s="21">
        <v>72.05</v>
      </c>
      <c r="C20" s="21">
        <v>7.88</v>
      </c>
      <c r="D20" s="26">
        <v>8.8323529999999995</v>
      </c>
      <c r="E20" s="26">
        <v>75.746129999999994</v>
      </c>
      <c r="F20" s="26">
        <f t="shared" si="0"/>
        <v>-0.95235299999999956</v>
      </c>
      <c r="G20" s="26">
        <f t="shared" si="1"/>
        <v>-3.6961299999999966</v>
      </c>
      <c r="H20" s="26">
        <f t="shared" si="2"/>
        <v>3.5200204938899953</v>
      </c>
      <c r="I20" s="26">
        <f t="shared" si="3"/>
        <v>0.90697623660899918</v>
      </c>
      <c r="J20" s="26"/>
    </row>
    <row r="21" spans="1:10" x14ac:dyDescent="0.25">
      <c r="A21" s="21" t="s">
        <v>655</v>
      </c>
      <c r="B21" s="21">
        <v>73.989999999999995</v>
      </c>
      <c r="C21" s="21">
        <v>8.4</v>
      </c>
      <c r="D21" s="26">
        <v>8.8323529999999995</v>
      </c>
      <c r="E21" s="26">
        <v>75.746129999999994</v>
      </c>
      <c r="F21" s="26">
        <f t="shared" si="0"/>
        <v>-0.4323529999999991</v>
      </c>
      <c r="G21" s="26">
        <f t="shared" si="1"/>
        <v>-1.7561299999999989</v>
      </c>
      <c r="H21" s="26">
        <f t="shared" si="2"/>
        <v>0.75926807388999795</v>
      </c>
      <c r="I21" s="26">
        <f t="shared" si="3"/>
        <v>0.18692911660899922</v>
      </c>
      <c r="J21" s="26"/>
    </row>
    <row r="22" spans="1:10" x14ac:dyDescent="0.25">
      <c r="A22" s="21" t="s">
        <v>659</v>
      </c>
      <c r="B22" s="21">
        <v>73.819999999999993</v>
      </c>
      <c r="C22" s="21">
        <v>8.5399999999999991</v>
      </c>
      <c r="D22" s="26">
        <v>8.8323529999999995</v>
      </c>
      <c r="E22" s="26">
        <v>75.746129999999994</v>
      </c>
      <c r="F22" s="26">
        <f t="shared" si="0"/>
        <v>-0.29235300000000031</v>
      </c>
      <c r="G22" s="26">
        <f t="shared" si="1"/>
        <v>-1.9261300000000006</v>
      </c>
      <c r="H22" s="26">
        <f t="shared" si="2"/>
        <v>0.56310988389000072</v>
      </c>
      <c r="I22" s="26">
        <f t="shared" si="3"/>
        <v>8.5470276609000181E-2</v>
      </c>
      <c r="J22" s="26"/>
    </row>
    <row r="23" spans="1:10" x14ac:dyDescent="0.25">
      <c r="A23" s="21" t="s">
        <v>663</v>
      </c>
      <c r="B23" s="21">
        <v>76.8</v>
      </c>
      <c r="C23" s="21">
        <v>10.19</v>
      </c>
      <c r="D23" s="26">
        <v>8.8323529999999995</v>
      </c>
      <c r="E23" s="26">
        <v>75.746129999999994</v>
      </c>
      <c r="F23" s="26">
        <f t="shared" si="0"/>
        <v>1.357647</v>
      </c>
      <c r="G23" s="26">
        <f t="shared" si="1"/>
        <v>1.0538700000000034</v>
      </c>
      <c r="H23" s="26">
        <f t="shared" si="2"/>
        <v>1.4307834438900047</v>
      </c>
      <c r="I23" s="26">
        <f t="shared" si="3"/>
        <v>1.8432053766090002</v>
      </c>
      <c r="J23" s="26"/>
    </row>
    <row r="24" spans="1:10" x14ac:dyDescent="0.25">
      <c r="A24" s="21" t="s">
        <v>667</v>
      </c>
      <c r="B24" s="21">
        <v>70.77</v>
      </c>
      <c r="C24" s="21">
        <v>8.57</v>
      </c>
      <c r="D24" s="26">
        <v>8.8323529999999995</v>
      </c>
      <c r="E24" s="26">
        <v>75.746129999999994</v>
      </c>
      <c r="F24" s="26">
        <f t="shared" si="0"/>
        <v>-0.26235299999999917</v>
      </c>
      <c r="G24" s="26">
        <f t="shared" si="1"/>
        <v>-4.9761299999999977</v>
      </c>
      <c r="H24" s="26">
        <f t="shared" si="2"/>
        <v>1.3055026338899953</v>
      </c>
      <c r="I24" s="26">
        <f t="shared" si="3"/>
        <v>6.8829096608999565E-2</v>
      </c>
      <c r="J24" s="26"/>
    </row>
    <row r="25" spans="1:10" x14ac:dyDescent="0.25">
      <c r="A25" s="21" t="s">
        <v>671</v>
      </c>
      <c r="B25" s="21">
        <v>71.03</v>
      </c>
      <c r="C25" s="21">
        <v>8.4700000000000006</v>
      </c>
      <c r="D25" s="26">
        <v>8.8323529999999995</v>
      </c>
      <c r="E25" s="26">
        <v>75.746129999999994</v>
      </c>
      <c r="F25" s="26">
        <f t="shared" si="0"/>
        <v>-0.36235299999999881</v>
      </c>
      <c r="G25" s="26">
        <f t="shared" si="1"/>
        <v>-4.7161299999999926</v>
      </c>
      <c r="H25" s="26">
        <f t="shared" si="2"/>
        <v>1.7089038538899917</v>
      </c>
      <c r="I25" s="26">
        <f t="shared" si="3"/>
        <v>0.13129969660899915</v>
      </c>
      <c r="J25" s="26"/>
    </row>
    <row r="26" spans="1:10" x14ac:dyDescent="0.25">
      <c r="A26" s="21" t="s">
        <v>675</v>
      </c>
      <c r="B26" s="21">
        <v>79.03</v>
      </c>
      <c r="C26" s="21">
        <v>10.79</v>
      </c>
      <c r="D26" s="26">
        <v>8.8323529999999995</v>
      </c>
      <c r="E26" s="26">
        <v>75.746129999999994</v>
      </c>
      <c r="F26" s="26">
        <f t="shared" si="0"/>
        <v>1.9576469999999997</v>
      </c>
      <c r="G26" s="26">
        <f t="shared" si="1"/>
        <v>3.2838700000000074</v>
      </c>
      <c r="H26" s="26">
        <f t="shared" si="2"/>
        <v>6.4286582538900134</v>
      </c>
      <c r="I26" s="26">
        <f t="shared" si="3"/>
        <v>3.8323817766089987</v>
      </c>
      <c r="J26" s="26"/>
    </row>
    <row r="27" spans="1:10" x14ac:dyDescent="0.25">
      <c r="A27" s="21" t="s">
        <v>679</v>
      </c>
      <c r="B27" s="21">
        <v>77.69</v>
      </c>
      <c r="C27" s="21">
        <v>10.44</v>
      </c>
      <c r="D27" s="26">
        <v>8.8323529999999995</v>
      </c>
      <c r="E27" s="26">
        <v>75.746129999999994</v>
      </c>
      <c r="F27" s="26">
        <f t="shared" si="0"/>
        <v>1.607647</v>
      </c>
      <c r="G27" s="26">
        <f t="shared" si="1"/>
        <v>1.943870000000004</v>
      </c>
      <c r="H27" s="26">
        <f t="shared" si="2"/>
        <v>3.1250567738900066</v>
      </c>
      <c r="I27" s="26">
        <f t="shared" si="3"/>
        <v>2.5845288766090002</v>
      </c>
      <c r="J27" s="26"/>
    </row>
    <row r="28" spans="1:10" x14ac:dyDescent="0.25">
      <c r="A28" s="21" t="s">
        <v>681</v>
      </c>
      <c r="B28" s="21">
        <v>83.75</v>
      </c>
      <c r="C28" s="21">
        <v>11.05</v>
      </c>
      <c r="D28" s="26">
        <v>8.8323529999999995</v>
      </c>
      <c r="E28" s="26">
        <v>75.746129999999994</v>
      </c>
      <c r="F28" s="26">
        <f t="shared" si="0"/>
        <v>2.2176470000000013</v>
      </c>
      <c r="G28" s="26">
        <f t="shared" si="1"/>
        <v>8.0038700000000063</v>
      </c>
      <c r="H28" s="26">
        <f t="shared" si="2"/>
        <v>17.749758293890025</v>
      </c>
      <c r="I28" s="26">
        <f t="shared" si="3"/>
        <v>4.9179582166090059</v>
      </c>
      <c r="J28" s="26"/>
    </row>
    <row r="29" spans="1:10" x14ac:dyDescent="0.25">
      <c r="A29" s="21" t="s">
        <v>685</v>
      </c>
      <c r="B29" s="21">
        <v>78.09</v>
      </c>
      <c r="C29" s="21">
        <v>10.66</v>
      </c>
      <c r="D29" s="26">
        <v>8.8323529999999995</v>
      </c>
      <c r="E29" s="26">
        <v>75.746129999999994</v>
      </c>
      <c r="F29" s="26">
        <f t="shared" si="0"/>
        <v>1.8276470000000007</v>
      </c>
      <c r="G29" s="26">
        <f t="shared" si="1"/>
        <v>2.3438700000000097</v>
      </c>
      <c r="H29" s="26">
        <f t="shared" si="2"/>
        <v>4.2837669738900193</v>
      </c>
      <c r="I29" s="26">
        <f t="shared" si="3"/>
        <v>3.3402935566090024</v>
      </c>
      <c r="J29" s="26"/>
    </row>
    <row r="30" spans="1:10" x14ac:dyDescent="0.25">
      <c r="A30" s="21" t="s">
        <v>687</v>
      </c>
      <c r="B30" s="21">
        <v>83.55</v>
      </c>
      <c r="C30" s="21">
        <v>11.9</v>
      </c>
      <c r="D30" s="26">
        <v>8.8323529999999995</v>
      </c>
      <c r="E30" s="26">
        <v>75.746129999999994</v>
      </c>
      <c r="F30" s="26">
        <f t="shared" si="0"/>
        <v>3.0676470000000009</v>
      </c>
      <c r="G30" s="26">
        <f t="shared" si="1"/>
        <v>7.8038700000000034</v>
      </c>
      <c r="H30" s="26">
        <f t="shared" si="2"/>
        <v>23.939518393890019</v>
      </c>
      <c r="I30" s="26">
        <f t="shared" si="3"/>
        <v>9.4104581166090053</v>
      </c>
      <c r="J30" s="26"/>
    </row>
    <row r="31" spans="1:10" x14ac:dyDescent="0.25">
      <c r="A31" s="21" t="s">
        <v>691</v>
      </c>
      <c r="B31" s="21">
        <v>83.05</v>
      </c>
      <c r="C31" s="21">
        <v>11.58</v>
      </c>
      <c r="D31" s="26">
        <v>8.8323529999999995</v>
      </c>
      <c r="E31" s="26">
        <v>75.746129999999994</v>
      </c>
      <c r="F31" s="26">
        <f t="shared" si="0"/>
        <v>2.7476470000000006</v>
      </c>
      <c r="G31" s="26">
        <f t="shared" si="1"/>
        <v>7.3038700000000034</v>
      </c>
      <c r="H31" s="26">
        <f t="shared" si="2"/>
        <v>20.068456493890015</v>
      </c>
      <c r="I31" s="26">
        <f t="shared" si="3"/>
        <v>7.5495640366090031</v>
      </c>
      <c r="J31" s="26"/>
    </row>
    <row r="32" spans="1:10" x14ac:dyDescent="0.25">
      <c r="A32" s="21" t="s">
        <v>695</v>
      </c>
      <c r="B32" s="21">
        <v>80.3</v>
      </c>
      <c r="C32" s="21">
        <v>11.47</v>
      </c>
      <c r="D32" s="26">
        <v>8.8323529999999995</v>
      </c>
      <c r="E32" s="26">
        <v>75.746129999999994</v>
      </c>
      <c r="F32" s="26">
        <f t="shared" si="0"/>
        <v>2.6376470000000012</v>
      </c>
      <c r="G32" s="26">
        <f t="shared" si="1"/>
        <v>4.5538700000000034</v>
      </c>
      <c r="H32" s="26">
        <f t="shared" si="2"/>
        <v>12.011501543890015</v>
      </c>
      <c r="I32" s="26">
        <f t="shared" si="3"/>
        <v>6.9571816966090063</v>
      </c>
      <c r="J32" s="26"/>
    </row>
    <row r="33" spans="1:10" x14ac:dyDescent="0.25">
      <c r="A33" s="21" t="s">
        <v>699</v>
      </c>
      <c r="B33" s="21">
        <v>76.03</v>
      </c>
      <c r="C33" s="21">
        <v>9.86</v>
      </c>
      <c r="D33" s="26">
        <v>8.8323529999999995</v>
      </c>
      <c r="E33" s="26">
        <v>75.746129999999994</v>
      </c>
      <c r="F33" s="26">
        <f t="shared" si="0"/>
        <v>1.027647</v>
      </c>
      <c r="G33" s="26">
        <f t="shared" si="1"/>
        <v>0.28387000000000739</v>
      </c>
      <c r="H33" s="26">
        <f t="shared" si="2"/>
        <v>0.2917181538900076</v>
      </c>
      <c r="I33" s="26">
        <f t="shared" si="3"/>
        <v>1.056058356609</v>
      </c>
      <c r="J33" s="26"/>
    </row>
    <row r="34" spans="1:10" x14ac:dyDescent="0.25">
      <c r="A34" s="21" t="s">
        <v>702</v>
      </c>
      <c r="B34" s="21">
        <v>75.010000000000005</v>
      </c>
      <c r="C34" s="21">
        <v>9.15</v>
      </c>
      <c r="D34" s="26">
        <v>8.8323529999999995</v>
      </c>
      <c r="E34" s="26">
        <v>75.746129999999994</v>
      </c>
      <c r="F34" s="26">
        <f t="shared" si="0"/>
        <v>0.3176470000000009</v>
      </c>
      <c r="G34" s="26">
        <f t="shared" si="1"/>
        <v>-0.73612999999998863</v>
      </c>
      <c r="H34" s="26">
        <f t="shared" si="2"/>
        <v>-0.23382948610999704</v>
      </c>
      <c r="I34" s="26">
        <f t="shared" si="3"/>
        <v>0.10089961660900057</v>
      </c>
      <c r="J34" s="26"/>
    </row>
    <row r="35" spans="1:10" x14ac:dyDescent="0.25">
      <c r="A35" s="21" t="s">
        <v>707</v>
      </c>
      <c r="B35" s="21">
        <v>72.55</v>
      </c>
      <c r="C35" s="21">
        <v>7.4</v>
      </c>
      <c r="D35" s="26">
        <v>8.8323529999999995</v>
      </c>
      <c r="E35" s="26">
        <v>75.746129999999994</v>
      </c>
      <c r="F35" s="26">
        <f t="shared" si="0"/>
        <v>-1.4323529999999991</v>
      </c>
      <c r="G35" s="26">
        <f t="shared" si="1"/>
        <v>-3.1961299999999966</v>
      </c>
      <c r="H35" s="26">
        <f t="shared" si="2"/>
        <v>4.5779863938899918</v>
      </c>
      <c r="I35" s="26">
        <f t="shared" si="3"/>
        <v>2.0516351166089972</v>
      </c>
      <c r="J35" s="26"/>
    </row>
    <row r="36" spans="1:10" x14ac:dyDescent="0.25">
      <c r="A36" s="21" t="s">
        <v>711</v>
      </c>
      <c r="B36" s="21">
        <v>74.52</v>
      </c>
      <c r="C36" s="21">
        <v>7.91</v>
      </c>
      <c r="D36" s="26">
        <v>8.8323529999999995</v>
      </c>
      <c r="E36" s="26">
        <v>75.746129999999994</v>
      </c>
      <c r="F36" s="26">
        <f t="shared" si="0"/>
        <v>-0.92235299999999931</v>
      </c>
      <c r="G36" s="26">
        <f t="shared" si="1"/>
        <v>-1.2261299999999977</v>
      </c>
      <c r="H36" s="26">
        <f t="shared" si="2"/>
        <v>1.1309246838899971</v>
      </c>
      <c r="I36" s="26">
        <f t="shared" si="3"/>
        <v>0.85073505660899873</v>
      </c>
      <c r="J36" s="26"/>
    </row>
    <row r="37" spans="1:10" x14ac:dyDescent="0.25">
      <c r="A37" s="21" t="s">
        <v>715</v>
      </c>
      <c r="B37" s="21">
        <v>70.97</v>
      </c>
      <c r="C37" s="21">
        <v>7.36</v>
      </c>
      <c r="D37" s="26">
        <v>8.8323529999999995</v>
      </c>
      <c r="E37" s="26">
        <v>75.746129999999994</v>
      </c>
      <c r="F37" s="26">
        <f t="shared" si="0"/>
        <v>-1.4723529999999991</v>
      </c>
      <c r="G37" s="26">
        <f t="shared" si="1"/>
        <v>-4.7761299999999949</v>
      </c>
      <c r="H37" s="26">
        <f t="shared" si="2"/>
        <v>7.0321493338899881</v>
      </c>
      <c r="I37" s="26">
        <f t="shared" si="3"/>
        <v>2.1678233566089973</v>
      </c>
      <c r="J37" s="26"/>
    </row>
    <row r="38" spans="1:10" x14ac:dyDescent="0.25">
      <c r="A38" s="21" t="s">
        <v>719</v>
      </c>
      <c r="B38" s="21">
        <v>69.62</v>
      </c>
      <c r="C38" s="21">
        <v>6.87</v>
      </c>
      <c r="D38" s="26">
        <v>8.8323529999999995</v>
      </c>
      <c r="E38" s="26">
        <v>75.746129999999994</v>
      </c>
      <c r="F38" s="26">
        <f t="shared" si="0"/>
        <v>-1.9623529999999993</v>
      </c>
      <c r="G38" s="26">
        <f t="shared" si="1"/>
        <v>-6.1261299999999892</v>
      </c>
      <c r="H38" s="26">
        <f t="shared" si="2"/>
        <v>12.021629583889975</v>
      </c>
      <c r="I38" s="26">
        <f t="shared" si="3"/>
        <v>3.8508292966089974</v>
      </c>
      <c r="J38" s="26"/>
    </row>
    <row r="39" spans="1:10" x14ac:dyDescent="0.25">
      <c r="A39" s="21" t="s">
        <v>722</v>
      </c>
      <c r="B39" s="21">
        <v>72.48</v>
      </c>
      <c r="C39" s="21">
        <v>7.87</v>
      </c>
      <c r="D39" s="26">
        <v>8.8323529999999995</v>
      </c>
      <c r="E39" s="26">
        <v>75.746129999999994</v>
      </c>
      <c r="F39" s="26">
        <f t="shared" si="0"/>
        <v>-0.96235299999999935</v>
      </c>
      <c r="G39" s="26">
        <f t="shared" si="1"/>
        <v>-3.2661299999999898</v>
      </c>
      <c r="H39" s="26">
        <f t="shared" si="2"/>
        <v>3.1431700038899879</v>
      </c>
      <c r="I39" s="26">
        <f t="shared" si="3"/>
        <v>0.92612329660899873</v>
      </c>
      <c r="J39" s="26"/>
    </row>
    <row r="40" spans="1:10" x14ac:dyDescent="0.25">
      <c r="A40" s="21" t="s">
        <v>726</v>
      </c>
      <c r="B40" s="21">
        <v>75.16</v>
      </c>
      <c r="C40" s="21">
        <v>8.65</v>
      </c>
      <c r="D40" s="26">
        <v>8.8323529999999995</v>
      </c>
      <c r="E40" s="26">
        <v>75.746129999999994</v>
      </c>
      <c r="F40" s="26">
        <f t="shared" si="0"/>
        <v>-0.1823529999999991</v>
      </c>
      <c r="G40" s="26">
        <f t="shared" si="1"/>
        <v>-0.58612999999999715</v>
      </c>
      <c r="H40" s="26">
        <f t="shared" si="2"/>
        <v>0.10688256388999895</v>
      </c>
      <c r="I40" s="26">
        <f t="shared" si="3"/>
        <v>3.3252616608999669E-2</v>
      </c>
      <c r="J40" s="26"/>
    </row>
    <row r="41" spans="1:10" x14ac:dyDescent="0.25">
      <c r="A41" s="21" t="s">
        <v>729</v>
      </c>
      <c r="B41" s="21">
        <v>70.63</v>
      </c>
      <c r="C41" s="21">
        <v>6.9</v>
      </c>
      <c r="D41" s="26">
        <v>8.8323529999999995</v>
      </c>
      <c r="E41" s="26">
        <v>75.746129999999994</v>
      </c>
      <c r="F41" s="26">
        <f t="shared" si="0"/>
        <v>-1.9323529999999991</v>
      </c>
      <c r="G41" s="26">
        <f t="shared" si="1"/>
        <v>-5.1161299999999983</v>
      </c>
      <c r="H41" s="26">
        <f t="shared" si="2"/>
        <v>9.886169153889993</v>
      </c>
      <c r="I41" s="26">
        <f t="shared" si="3"/>
        <v>3.7339881166089963</v>
      </c>
      <c r="J41" s="26"/>
    </row>
    <row r="42" spans="1:10" x14ac:dyDescent="0.25">
      <c r="A42" s="21" t="s">
        <v>733</v>
      </c>
      <c r="B42" s="21">
        <v>72.099999999999994</v>
      </c>
      <c r="C42" s="21">
        <v>7.83</v>
      </c>
      <c r="D42" s="26">
        <v>8.8323529999999995</v>
      </c>
      <c r="E42" s="26">
        <v>75.746129999999994</v>
      </c>
      <c r="F42" s="26">
        <f t="shared" si="0"/>
        <v>-1.0023529999999994</v>
      </c>
      <c r="G42" s="26">
        <f t="shared" si="1"/>
        <v>-3.6461299999999994</v>
      </c>
      <c r="H42" s="26">
        <f t="shared" si="2"/>
        <v>3.6547093438899974</v>
      </c>
      <c r="I42" s="26">
        <f t="shared" si="3"/>
        <v>1.0047115366089987</v>
      </c>
      <c r="J42" s="26"/>
    </row>
    <row r="43" spans="1:10" x14ac:dyDescent="0.25">
      <c r="A43" s="21" t="s">
        <v>737</v>
      </c>
      <c r="B43" s="21">
        <v>75.959999999999994</v>
      </c>
      <c r="C43" s="21">
        <v>8.17</v>
      </c>
      <c r="D43" s="26">
        <v>8.8323529999999995</v>
      </c>
      <c r="E43" s="26">
        <v>75.746129999999994</v>
      </c>
      <c r="F43" s="26">
        <f t="shared" si="0"/>
        <v>-0.66235299999999953</v>
      </c>
      <c r="G43" s="26">
        <f t="shared" si="1"/>
        <v>0.21387</v>
      </c>
      <c r="H43" s="26">
        <f t="shared" si="2"/>
        <v>-0.1416574361099999</v>
      </c>
      <c r="I43" s="26">
        <f t="shared" si="3"/>
        <v>0.43871149660899939</v>
      </c>
      <c r="J43" s="26"/>
    </row>
    <row r="44" spans="1:10" x14ac:dyDescent="0.25">
      <c r="A44" s="21" t="s">
        <v>740</v>
      </c>
      <c r="B44" s="21">
        <v>78.16</v>
      </c>
      <c r="C44" s="21">
        <v>9.2899999999999991</v>
      </c>
      <c r="D44" s="26">
        <v>8.8323529999999995</v>
      </c>
      <c r="E44" s="26">
        <v>75.746129999999994</v>
      </c>
      <c r="F44" s="26">
        <f t="shared" si="0"/>
        <v>0.45764699999999969</v>
      </c>
      <c r="G44" s="26">
        <f t="shared" si="1"/>
        <v>2.4138700000000028</v>
      </c>
      <c r="H44" s="26">
        <f t="shared" si="2"/>
        <v>1.1047003638900006</v>
      </c>
      <c r="I44" s="26">
        <f t="shared" si="3"/>
        <v>0.20944077660899971</v>
      </c>
      <c r="J44" s="26"/>
    </row>
    <row r="45" spans="1:10" x14ac:dyDescent="0.25">
      <c r="A45" s="21" t="s">
        <v>744</v>
      </c>
      <c r="B45" s="21">
        <v>79.3</v>
      </c>
      <c r="C45" s="21">
        <v>10.01</v>
      </c>
      <c r="D45" s="26">
        <v>8.8323529999999995</v>
      </c>
      <c r="E45" s="26">
        <v>75.746129999999994</v>
      </c>
      <c r="F45" s="26">
        <f t="shared" si="0"/>
        <v>1.1776470000000003</v>
      </c>
      <c r="G45" s="26">
        <f t="shared" si="1"/>
        <v>3.5538700000000034</v>
      </c>
      <c r="H45" s="26">
        <f t="shared" si="2"/>
        <v>4.1852043438900051</v>
      </c>
      <c r="I45" s="26">
        <f t="shared" si="3"/>
        <v>1.3868524566090008</v>
      </c>
      <c r="J45" s="26"/>
    </row>
    <row r="46" spans="1:10" x14ac:dyDescent="0.25">
      <c r="A46" s="21" t="s">
        <v>748</v>
      </c>
      <c r="B46" s="21">
        <v>72.540000000000006</v>
      </c>
      <c r="C46" s="21">
        <v>7.68</v>
      </c>
      <c r="D46" s="26">
        <v>8.8323529999999995</v>
      </c>
      <c r="E46" s="26">
        <v>75.746129999999994</v>
      </c>
      <c r="F46" s="26">
        <f t="shared" si="0"/>
        <v>-1.1523529999999997</v>
      </c>
      <c r="G46" s="26">
        <f t="shared" si="1"/>
        <v>-3.2061299999999875</v>
      </c>
      <c r="H46" s="26">
        <f t="shared" si="2"/>
        <v>3.694593523889985</v>
      </c>
      <c r="I46" s="26">
        <f t="shared" si="3"/>
        <v>1.3279174366089994</v>
      </c>
      <c r="J46" s="26"/>
    </row>
    <row r="47" spans="1:10" x14ac:dyDescent="0.25">
      <c r="A47" s="21" t="s">
        <v>752</v>
      </c>
      <c r="B47" s="21">
        <v>78.11</v>
      </c>
      <c r="C47" s="21">
        <v>9.26</v>
      </c>
      <c r="D47" s="26">
        <v>8.8323529999999995</v>
      </c>
      <c r="E47" s="26">
        <v>75.746129999999994</v>
      </c>
      <c r="F47" s="26">
        <f t="shared" si="0"/>
        <v>0.42764700000000033</v>
      </c>
      <c r="G47" s="26">
        <f t="shared" si="1"/>
        <v>2.3638700000000057</v>
      </c>
      <c r="H47" s="26">
        <f t="shared" si="2"/>
        <v>1.0109019138900033</v>
      </c>
      <c r="I47" s="26">
        <f t="shared" si="3"/>
        <v>0.18288195660900028</v>
      </c>
      <c r="J47" s="26"/>
    </row>
    <row r="48" spans="1:10" x14ac:dyDescent="0.25">
      <c r="A48" s="21" t="s">
        <v>756</v>
      </c>
      <c r="B48" s="21">
        <v>75.53</v>
      </c>
      <c r="C48" s="21">
        <v>7.88</v>
      </c>
      <c r="D48" s="26">
        <v>8.8323529999999995</v>
      </c>
      <c r="E48" s="26">
        <v>75.746129999999994</v>
      </c>
      <c r="F48" s="26">
        <f t="shared" si="0"/>
        <v>-0.95235299999999956</v>
      </c>
      <c r="G48" s="26">
        <f t="shared" si="1"/>
        <v>-0.21612999999999261</v>
      </c>
      <c r="H48" s="26">
        <f t="shared" si="2"/>
        <v>0.20583205388999287</v>
      </c>
      <c r="I48" s="26">
        <f t="shared" si="3"/>
        <v>0.90697623660899918</v>
      </c>
      <c r="J48" s="26"/>
    </row>
    <row r="49" spans="1:10" x14ac:dyDescent="0.25">
      <c r="A49" s="21" t="s">
        <v>760</v>
      </c>
      <c r="B49" s="21">
        <v>72.02</v>
      </c>
      <c r="C49" s="21">
        <v>7.29</v>
      </c>
      <c r="D49" s="26">
        <v>8.8323529999999995</v>
      </c>
      <c r="E49" s="26">
        <v>75.746129999999994</v>
      </c>
      <c r="F49" s="26">
        <f t="shared" si="0"/>
        <v>-1.5423529999999994</v>
      </c>
      <c r="G49" s="26">
        <f t="shared" si="1"/>
        <v>-3.7261299999999977</v>
      </c>
      <c r="H49" s="26">
        <f t="shared" si="2"/>
        <v>5.7470077838899947</v>
      </c>
      <c r="I49" s="26">
        <f t="shared" si="3"/>
        <v>2.3788527766089982</v>
      </c>
      <c r="J49" s="26"/>
    </row>
    <row r="50" spans="1:10" x14ac:dyDescent="0.25">
      <c r="A50" s="21" t="s">
        <v>764</v>
      </c>
      <c r="B50" s="21">
        <v>71.42</v>
      </c>
      <c r="C50" s="21">
        <v>7.26</v>
      </c>
      <c r="D50" s="26">
        <v>8.8323529999999995</v>
      </c>
      <c r="E50" s="26">
        <v>75.746129999999994</v>
      </c>
      <c r="F50" s="26">
        <f t="shared" si="0"/>
        <v>-1.5723529999999997</v>
      </c>
      <c r="G50" s="26">
        <f t="shared" si="1"/>
        <v>-4.326129999999992</v>
      </c>
      <c r="H50" s="26">
        <f t="shared" si="2"/>
        <v>6.8022034838899863</v>
      </c>
      <c r="I50" s="26">
        <f t="shared" si="3"/>
        <v>2.4722939566089988</v>
      </c>
      <c r="J50" s="26"/>
    </row>
    <row r="51" spans="1:10" x14ac:dyDescent="0.25">
      <c r="A51" s="21" t="s">
        <v>768</v>
      </c>
      <c r="B51" s="21">
        <v>72.53</v>
      </c>
      <c r="C51" s="21">
        <v>7.73</v>
      </c>
      <c r="D51" s="26">
        <v>8.8323529999999995</v>
      </c>
      <c r="E51" s="26">
        <v>75.746129999999994</v>
      </c>
      <c r="F51" s="26">
        <f t="shared" si="0"/>
        <v>-1.102352999999999</v>
      </c>
      <c r="G51" s="26">
        <f t="shared" si="1"/>
        <v>-3.2161299999999926</v>
      </c>
      <c r="H51" s="26">
        <f t="shared" si="2"/>
        <v>3.5453105538899887</v>
      </c>
      <c r="I51" s="26">
        <f t="shared" si="3"/>
        <v>1.2151821366089979</v>
      </c>
      <c r="J51" s="26"/>
    </row>
    <row r="52" spans="1:10" x14ac:dyDescent="0.25">
      <c r="A52" s="21" t="s">
        <v>772</v>
      </c>
      <c r="B52" s="21">
        <v>74.099999999999994</v>
      </c>
      <c r="C52" s="21">
        <v>7.82</v>
      </c>
      <c r="D52" s="26">
        <v>8.8323529999999995</v>
      </c>
      <c r="E52" s="26">
        <v>75.746129999999994</v>
      </c>
      <c r="F52" s="26">
        <f t="shared" si="0"/>
        <v>-1.0123529999999992</v>
      </c>
      <c r="G52" s="26">
        <f t="shared" si="1"/>
        <v>-1.6461299999999994</v>
      </c>
      <c r="H52" s="26">
        <f t="shared" si="2"/>
        <v>1.6664646438899982</v>
      </c>
      <c r="I52" s="26">
        <f t="shared" si="3"/>
        <v>1.0248585966089983</v>
      </c>
      <c r="J52" s="26"/>
    </row>
    <row r="53" spans="1:10" x14ac:dyDescent="0.25">
      <c r="A53" s="21" t="s">
        <v>776</v>
      </c>
      <c r="B53" s="21">
        <v>77.209999999999994</v>
      </c>
      <c r="C53" s="21">
        <v>9.35</v>
      </c>
      <c r="D53" s="26">
        <v>8.8323529999999995</v>
      </c>
      <c r="E53" s="26">
        <v>75.746129999999994</v>
      </c>
      <c r="F53" s="26">
        <f t="shared" si="0"/>
        <v>0.51764700000000019</v>
      </c>
      <c r="G53" s="26">
        <f t="shared" si="1"/>
        <v>1.46387</v>
      </c>
      <c r="H53" s="26">
        <f t="shared" si="2"/>
        <v>0.75776791389000031</v>
      </c>
      <c r="I53" s="26">
        <f t="shared" si="3"/>
        <v>0.26795841660900022</v>
      </c>
      <c r="J53" s="26"/>
    </row>
    <row r="54" spans="1:10" x14ac:dyDescent="0.25">
      <c r="A54" s="21" t="s">
        <v>780</v>
      </c>
      <c r="B54" s="21">
        <v>74.319999999999993</v>
      </c>
      <c r="C54" s="21">
        <v>8.27</v>
      </c>
      <c r="D54" s="26">
        <v>8.8323529999999995</v>
      </c>
      <c r="E54" s="26">
        <v>75.746129999999994</v>
      </c>
      <c r="F54" s="26">
        <f t="shared" si="0"/>
        <v>-0.56235299999999988</v>
      </c>
      <c r="G54" s="26">
        <f t="shared" si="1"/>
        <v>-1.4261300000000006</v>
      </c>
      <c r="H54" s="26">
        <f t="shared" si="2"/>
        <v>0.8019884838900001</v>
      </c>
      <c r="I54" s="26">
        <f t="shared" si="3"/>
        <v>0.31624089660899984</v>
      </c>
      <c r="J54" s="26"/>
    </row>
    <row r="55" spans="1:10" x14ac:dyDescent="0.25">
      <c r="A55" s="21" t="s">
        <v>784</v>
      </c>
      <c r="B55" s="21">
        <v>74.569999999999993</v>
      </c>
      <c r="C55" s="21">
        <v>8.2799999999999994</v>
      </c>
      <c r="D55" s="26">
        <v>8.8323529999999995</v>
      </c>
      <c r="E55" s="26">
        <v>75.746129999999994</v>
      </c>
      <c r="F55" s="26">
        <f t="shared" si="0"/>
        <v>-0.55235300000000009</v>
      </c>
      <c r="G55" s="26">
        <f t="shared" si="1"/>
        <v>-1.1761300000000006</v>
      </c>
      <c r="H55" s="26">
        <f t="shared" si="2"/>
        <v>0.64963893389000038</v>
      </c>
      <c r="I55" s="26">
        <f t="shared" si="3"/>
        <v>0.30509383660900008</v>
      </c>
      <c r="J55" s="26"/>
    </row>
    <row r="56" spans="1:10" x14ac:dyDescent="0.25">
      <c r="A56" s="21" t="s">
        <v>787</v>
      </c>
      <c r="B56" s="21">
        <v>75.67</v>
      </c>
      <c r="C56" s="21">
        <v>8.16</v>
      </c>
      <c r="D56" s="26">
        <v>8.8323529999999995</v>
      </c>
      <c r="E56" s="26">
        <v>75.746129999999994</v>
      </c>
      <c r="F56" s="26">
        <f t="shared" si="0"/>
        <v>-0.67235299999999931</v>
      </c>
      <c r="G56" s="26">
        <f t="shared" si="1"/>
        <v>-7.6129999999992037E-2</v>
      </c>
      <c r="H56" s="26">
        <f t="shared" si="2"/>
        <v>5.1186233889994597E-2</v>
      </c>
      <c r="I56" s="26">
        <f t="shared" si="3"/>
        <v>0.45205855660899907</v>
      </c>
      <c r="J56" s="26"/>
    </row>
    <row r="57" spans="1:10" x14ac:dyDescent="0.25">
      <c r="A57" s="21" t="s">
        <v>791</v>
      </c>
      <c r="B57" s="21">
        <v>71.86</v>
      </c>
      <c r="C57" s="21">
        <v>7.53</v>
      </c>
      <c r="D57" s="26">
        <v>8.8323529999999995</v>
      </c>
      <c r="E57" s="26">
        <v>75.746129999999994</v>
      </c>
      <c r="F57" s="26">
        <f t="shared" si="0"/>
        <v>-1.3023529999999992</v>
      </c>
      <c r="G57" s="26">
        <f t="shared" si="1"/>
        <v>-3.8861299999999943</v>
      </c>
      <c r="H57" s="26">
        <f t="shared" si="2"/>
        <v>5.0611130638899899</v>
      </c>
      <c r="I57" s="26">
        <f t="shared" si="3"/>
        <v>1.6961233366089978</v>
      </c>
      <c r="J57" s="26"/>
    </row>
    <row r="58" spans="1:10" x14ac:dyDescent="0.25">
      <c r="A58" s="21" t="s">
        <v>795</v>
      </c>
      <c r="B58" s="21">
        <v>74.34</v>
      </c>
      <c r="C58" s="21">
        <v>7.74</v>
      </c>
      <c r="D58" s="26">
        <v>8.8323529999999995</v>
      </c>
      <c r="E58" s="26">
        <v>75.746129999999994</v>
      </c>
      <c r="F58" s="26">
        <f t="shared" si="0"/>
        <v>-1.0923529999999992</v>
      </c>
      <c r="G58" s="26">
        <f t="shared" si="1"/>
        <v>-1.4061299999999903</v>
      </c>
      <c r="H58" s="26">
        <f t="shared" si="2"/>
        <v>1.5359903238899884</v>
      </c>
      <c r="I58" s="26">
        <f t="shared" si="3"/>
        <v>1.1932350766089983</v>
      </c>
      <c r="J58" s="26"/>
    </row>
    <row r="59" spans="1:10" x14ac:dyDescent="0.25">
      <c r="A59" s="21" t="s">
        <v>799</v>
      </c>
      <c r="B59" s="21">
        <v>70.73</v>
      </c>
      <c r="C59" s="21">
        <v>7.08</v>
      </c>
      <c r="D59" s="26">
        <v>8.8323529999999995</v>
      </c>
      <c r="E59" s="26">
        <v>75.746129999999994</v>
      </c>
      <c r="F59" s="26">
        <f t="shared" si="0"/>
        <v>-1.7523529999999994</v>
      </c>
      <c r="G59" s="26">
        <f t="shared" si="1"/>
        <v>-5.0161299999999898</v>
      </c>
      <c r="H59" s="26">
        <f t="shared" si="2"/>
        <v>8.7900304538899796</v>
      </c>
      <c r="I59" s="26">
        <f t="shared" si="3"/>
        <v>3.070741036608998</v>
      </c>
      <c r="J59" s="26"/>
    </row>
    <row r="60" spans="1:10" x14ac:dyDescent="0.25">
      <c r="A60" s="21" t="s">
        <v>803</v>
      </c>
      <c r="B60" s="21">
        <v>71.95</v>
      </c>
      <c r="C60" s="21">
        <v>7.48</v>
      </c>
      <c r="D60" s="26">
        <v>8.8323529999999995</v>
      </c>
      <c r="E60" s="26">
        <v>75.746129999999994</v>
      </c>
      <c r="F60" s="26">
        <f t="shared" si="0"/>
        <v>-1.352352999999999</v>
      </c>
      <c r="G60" s="26">
        <f t="shared" si="1"/>
        <v>-3.7961299999999909</v>
      </c>
      <c r="H60" s="26">
        <f t="shared" si="2"/>
        <v>5.1337077938899842</v>
      </c>
      <c r="I60" s="26">
        <f t="shared" si="3"/>
        <v>1.8288586366089974</v>
      </c>
      <c r="J60" s="26"/>
    </row>
    <row r="61" spans="1:10" x14ac:dyDescent="0.25">
      <c r="A61" s="21" t="s">
        <v>807</v>
      </c>
      <c r="B61" s="21">
        <v>68.650000000000006</v>
      </c>
      <c r="C61" s="21">
        <v>6.56</v>
      </c>
      <c r="D61" s="26">
        <v>8.8323529999999995</v>
      </c>
      <c r="E61" s="26">
        <v>75.746129999999994</v>
      </c>
      <c r="F61" s="26">
        <f t="shared" si="0"/>
        <v>-2.2723529999999998</v>
      </c>
      <c r="G61" s="26">
        <f t="shared" si="1"/>
        <v>-7.0961299999999881</v>
      </c>
      <c r="H61" s="26">
        <f t="shared" si="2"/>
        <v>16.12491229388997</v>
      </c>
      <c r="I61" s="26">
        <f t="shared" si="3"/>
        <v>5.1635881566089994</v>
      </c>
      <c r="J61" s="26"/>
    </row>
    <row r="62" spans="1:10" x14ac:dyDescent="0.25">
      <c r="A62" s="21" t="s">
        <v>811</v>
      </c>
      <c r="B62" s="21">
        <v>71.7</v>
      </c>
      <c r="C62" s="21">
        <v>7.36</v>
      </c>
      <c r="D62" s="26">
        <v>8.8323529999999995</v>
      </c>
      <c r="E62" s="26">
        <v>75.746129999999994</v>
      </c>
      <c r="F62" s="26">
        <f t="shared" si="0"/>
        <v>-1.4723529999999991</v>
      </c>
      <c r="G62" s="26">
        <f t="shared" si="1"/>
        <v>-4.0461299999999909</v>
      </c>
      <c r="H62" s="26">
        <f t="shared" si="2"/>
        <v>5.957331643889983</v>
      </c>
      <c r="I62" s="26">
        <f t="shared" si="3"/>
        <v>2.1678233566089973</v>
      </c>
      <c r="J62" s="26"/>
    </row>
    <row r="63" spans="1:10" x14ac:dyDescent="0.25">
      <c r="A63" s="21" t="s">
        <v>815</v>
      </c>
      <c r="B63" s="21">
        <v>70.180000000000007</v>
      </c>
      <c r="C63" s="21">
        <v>6.41</v>
      </c>
      <c r="D63" s="26">
        <v>8.8323529999999995</v>
      </c>
      <c r="E63" s="26">
        <v>75.746129999999994</v>
      </c>
      <c r="F63" s="26">
        <f t="shared" si="0"/>
        <v>-2.4223529999999993</v>
      </c>
      <c r="G63" s="26">
        <f t="shared" si="1"/>
        <v>-5.5661299999999869</v>
      </c>
      <c r="H63" s="26">
        <f t="shared" si="2"/>
        <v>13.483131703889965</v>
      </c>
      <c r="I63" s="26">
        <f t="shared" si="3"/>
        <v>5.8677940566089966</v>
      </c>
      <c r="J63" s="26"/>
    </row>
    <row r="64" spans="1:10" x14ac:dyDescent="0.25">
      <c r="A64" s="21" t="s">
        <v>818</v>
      </c>
      <c r="B64" s="21">
        <v>82.15</v>
      </c>
      <c r="C64" s="21">
        <v>11.43</v>
      </c>
      <c r="D64" s="26">
        <v>8.8323529999999995</v>
      </c>
      <c r="E64" s="26">
        <v>75.746129999999994</v>
      </c>
      <c r="F64" s="26">
        <f t="shared" si="0"/>
        <v>2.5976470000000003</v>
      </c>
      <c r="G64" s="26">
        <f t="shared" si="1"/>
        <v>6.4038700000000119</v>
      </c>
      <c r="H64" s="26">
        <f t="shared" si="2"/>
        <v>16.634993693890031</v>
      </c>
      <c r="I64" s="26">
        <f t="shared" si="3"/>
        <v>6.7477699366090009</v>
      </c>
      <c r="J64" s="26"/>
    </row>
    <row r="65" spans="1:10" x14ac:dyDescent="0.25">
      <c r="A65" s="21" t="s">
        <v>821</v>
      </c>
      <c r="B65" s="21">
        <v>84.41</v>
      </c>
      <c r="C65" s="21">
        <v>11.25</v>
      </c>
      <c r="D65" s="26">
        <v>8.8323529999999995</v>
      </c>
      <c r="E65" s="26">
        <v>75.746129999999994</v>
      </c>
      <c r="F65" s="26">
        <f t="shared" si="0"/>
        <v>2.4176470000000005</v>
      </c>
      <c r="G65" s="26">
        <f t="shared" si="1"/>
        <v>8.6638700000000028</v>
      </c>
      <c r="H65" s="26">
        <f t="shared" si="2"/>
        <v>20.94617931389001</v>
      </c>
      <c r="I65" s="26">
        <f t="shared" si="3"/>
        <v>5.8450170166090025</v>
      </c>
      <c r="J65" s="26"/>
    </row>
    <row r="66" spans="1:10" x14ac:dyDescent="0.25">
      <c r="A66" s="21" t="s">
        <v>824</v>
      </c>
      <c r="B66" s="21">
        <v>85.72</v>
      </c>
      <c r="C66" s="21">
        <v>11.48</v>
      </c>
      <c r="D66" s="26">
        <v>8.8323529999999995</v>
      </c>
      <c r="E66" s="26">
        <v>75.746129999999994</v>
      </c>
      <c r="F66" s="26">
        <f t="shared" si="0"/>
        <v>2.647647000000001</v>
      </c>
      <c r="G66" s="26">
        <f t="shared" si="1"/>
        <v>9.9738700000000051</v>
      </c>
      <c r="H66" s="26">
        <f t="shared" si="2"/>
        <v>26.407286983890025</v>
      </c>
      <c r="I66" s="26">
        <f t="shared" si="3"/>
        <v>7.0100346366090047</v>
      </c>
      <c r="J66" s="26"/>
    </row>
    <row r="67" spans="1:10" x14ac:dyDescent="0.25">
      <c r="A67" s="21" t="s">
        <v>827</v>
      </c>
      <c r="B67" s="21">
        <v>85.24</v>
      </c>
      <c r="C67" s="21">
        <v>11.05</v>
      </c>
      <c r="D67" s="26">
        <v>8.8323529999999995</v>
      </c>
      <c r="E67" s="26">
        <v>75.746129999999994</v>
      </c>
      <c r="F67" s="26">
        <f t="shared" ref="F67:F120" si="4">C67-D67</f>
        <v>2.2176470000000013</v>
      </c>
      <c r="G67" s="26">
        <f t="shared" ref="G67:G120" si="5">B67-E67</f>
        <v>9.4938700000000011</v>
      </c>
      <c r="H67" s="26">
        <f t="shared" ref="H67:H120" si="6">F67*G67</f>
        <v>21.054052323890016</v>
      </c>
      <c r="I67" s="26">
        <f t="shared" ref="I67:I120" si="7">F67^2</f>
        <v>4.9179582166090059</v>
      </c>
      <c r="J67" s="26"/>
    </row>
    <row r="68" spans="1:10" x14ac:dyDescent="0.25">
      <c r="A68" s="21" t="s">
        <v>830</v>
      </c>
      <c r="B68" s="21">
        <v>77.209999999999994</v>
      </c>
      <c r="C68" s="21">
        <v>9.34</v>
      </c>
      <c r="D68" s="26">
        <v>8.8323529999999995</v>
      </c>
      <c r="E68" s="26">
        <v>75.746129999999994</v>
      </c>
      <c r="F68" s="26">
        <f t="shared" si="4"/>
        <v>0.5076470000000004</v>
      </c>
      <c r="G68" s="26">
        <f t="shared" si="5"/>
        <v>1.46387</v>
      </c>
      <c r="H68" s="26">
        <f t="shared" si="6"/>
        <v>0.74312921389000064</v>
      </c>
      <c r="I68" s="26">
        <f t="shared" si="7"/>
        <v>0.25770547660900039</v>
      </c>
      <c r="J68" s="26"/>
    </row>
    <row r="69" spans="1:10" x14ac:dyDescent="0.25">
      <c r="A69" s="21" t="s">
        <v>833</v>
      </c>
      <c r="B69" s="21">
        <v>77.5</v>
      </c>
      <c r="C69" s="21">
        <v>9.2799999999999994</v>
      </c>
      <c r="D69" s="26">
        <v>8.8323529999999995</v>
      </c>
      <c r="E69" s="26">
        <v>75.746129999999994</v>
      </c>
      <c r="F69" s="26">
        <f t="shared" si="4"/>
        <v>0.44764699999999991</v>
      </c>
      <c r="G69" s="26">
        <f t="shared" si="5"/>
        <v>1.7538700000000063</v>
      </c>
      <c r="H69" s="26">
        <f t="shared" si="6"/>
        <v>0.78511464389000263</v>
      </c>
      <c r="I69" s="26">
        <f t="shared" si="7"/>
        <v>0.20038783660899992</v>
      </c>
      <c r="J69" s="26"/>
    </row>
    <row r="70" spans="1:10" x14ac:dyDescent="0.25">
      <c r="A70" s="21" t="s">
        <v>838</v>
      </c>
      <c r="B70" s="21">
        <v>76.180000000000007</v>
      </c>
      <c r="C70" s="21">
        <v>9.1999999999999993</v>
      </c>
      <c r="D70" s="26">
        <v>8.8323529999999995</v>
      </c>
      <c r="E70" s="26">
        <v>75.746129999999994</v>
      </c>
      <c r="F70" s="26">
        <f t="shared" si="4"/>
        <v>0.36764699999999984</v>
      </c>
      <c r="G70" s="26">
        <f t="shared" si="5"/>
        <v>0.43387000000001308</v>
      </c>
      <c r="H70" s="26">
        <f t="shared" si="6"/>
        <v>0.15951100389000475</v>
      </c>
      <c r="I70" s="26">
        <f t="shared" si="7"/>
        <v>0.13516431660899988</v>
      </c>
      <c r="J70" s="26"/>
    </row>
    <row r="71" spans="1:10" x14ac:dyDescent="0.25">
      <c r="A71" s="21" t="s">
        <v>840</v>
      </c>
      <c r="B71" s="21">
        <v>82.05</v>
      </c>
      <c r="C71" s="21">
        <v>9.81</v>
      </c>
      <c r="D71" s="26">
        <v>8.8323529999999995</v>
      </c>
      <c r="E71" s="26">
        <v>75.746129999999994</v>
      </c>
      <c r="F71" s="26">
        <f t="shared" si="4"/>
        <v>0.97764700000000104</v>
      </c>
      <c r="G71" s="26">
        <f t="shared" si="5"/>
        <v>6.3038700000000034</v>
      </c>
      <c r="H71" s="26">
        <f t="shared" si="6"/>
        <v>6.1629595938900099</v>
      </c>
      <c r="I71" s="26">
        <f t="shared" si="7"/>
        <v>0.95579365660900206</v>
      </c>
      <c r="J71" s="26"/>
    </row>
    <row r="72" spans="1:10" x14ac:dyDescent="0.25">
      <c r="A72" s="21" t="s">
        <v>843</v>
      </c>
      <c r="B72" s="21">
        <v>72.14</v>
      </c>
      <c r="C72" s="21">
        <v>7.35</v>
      </c>
      <c r="D72" s="26">
        <v>8.8323529999999995</v>
      </c>
      <c r="E72" s="26">
        <v>75.746129999999994</v>
      </c>
      <c r="F72" s="26">
        <f t="shared" si="4"/>
        <v>-1.4823529999999998</v>
      </c>
      <c r="G72" s="26">
        <f t="shared" si="5"/>
        <v>-3.6061299999999932</v>
      </c>
      <c r="H72" s="26">
        <f t="shared" si="6"/>
        <v>5.3455576238899889</v>
      </c>
      <c r="I72" s="26">
        <f t="shared" si="7"/>
        <v>2.1973704166089996</v>
      </c>
      <c r="J72" s="26"/>
    </row>
    <row r="73" spans="1:10" x14ac:dyDescent="0.25">
      <c r="A73" s="21" t="s">
        <v>847</v>
      </c>
      <c r="B73" s="21">
        <v>85.71</v>
      </c>
      <c r="C73" s="21">
        <v>11.33</v>
      </c>
      <c r="D73" s="26">
        <v>8.8323529999999995</v>
      </c>
      <c r="E73" s="26">
        <v>75.746129999999994</v>
      </c>
      <c r="F73" s="26">
        <f t="shared" si="4"/>
        <v>2.4976470000000006</v>
      </c>
      <c r="G73" s="26">
        <f t="shared" si="5"/>
        <v>9.96387</v>
      </c>
      <c r="H73" s="26">
        <f t="shared" si="6"/>
        <v>24.886230013890007</v>
      </c>
      <c r="I73" s="26">
        <f t="shared" si="7"/>
        <v>6.2382405366090028</v>
      </c>
      <c r="J73" s="26"/>
    </row>
    <row r="74" spans="1:10" x14ac:dyDescent="0.25">
      <c r="A74" s="21" t="s">
        <v>851</v>
      </c>
      <c r="B74" s="21">
        <v>89.1</v>
      </c>
      <c r="C74" s="21">
        <v>12.12</v>
      </c>
      <c r="D74" s="26">
        <v>8.8323529999999995</v>
      </c>
      <c r="E74" s="26">
        <v>75.746129999999994</v>
      </c>
      <c r="F74" s="26">
        <f t="shared" si="4"/>
        <v>3.2876469999999998</v>
      </c>
      <c r="G74" s="26">
        <f t="shared" si="5"/>
        <v>13.353870000000001</v>
      </c>
      <c r="H74" s="26">
        <f t="shared" si="6"/>
        <v>43.90281064389</v>
      </c>
      <c r="I74" s="26">
        <f t="shared" si="7"/>
        <v>10.808622796608999</v>
      </c>
      <c r="J74" s="26"/>
    </row>
    <row r="75" spans="1:10" x14ac:dyDescent="0.25">
      <c r="A75" s="21" t="s">
        <v>856</v>
      </c>
      <c r="B75" s="21">
        <v>71.489999999999995</v>
      </c>
      <c r="C75" s="21">
        <v>7.9</v>
      </c>
      <c r="D75" s="26">
        <v>8.8323529999999995</v>
      </c>
      <c r="E75" s="26">
        <v>75.746129999999994</v>
      </c>
      <c r="F75" s="26">
        <f t="shared" si="4"/>
        <v>-0.9323529999999991</v>
      </c>
      <c r="G75" s="26">
        <f t="shared" si="5"/>
        <v>-4.2561299999999989</v>
      </c>
      <c r="H75" s="26">
        <f t="shared" si="6"/>
        <v>3.9682155738899949</v>
      </c>
      <c r="I75" s="26">
        <f t="shared" si="7"/>
        <v>0.86928211660899835</v>
      </c>
      <c r="J75" s="26"/>
    </row>
    <row r="76" spans="1:10" x14ac:dyDescent="0.25">
      <c r="A76" s="21" t="s">
        <v>860</v>
      </c>
      <c r="B76" s="21">
        <v>73.7</v>
      </c>
      <c r="C76" s="21">
        <v>7.8</v>
      </c>
      <c r="D76" s="26">
        <v>8.8323529999999995</v>
      </c>
      <c r="E76" s="26">
        <v>75.746129999999994</v>
      </c>
      <c r="F76" s="26">
        <f t="shared" si="4"/>
        <v>-1.0323529999999996</v>
      </c>
      <c r="G76" s="26">
        <f t="shared" si="5"/>
        <v>-2.0461299999999909</v>
      </c>
      <c r="H76" s="26">
        <f t="shared" si="6"/>
        <v>2.1123284438899899</v>
      </c>
      <c r="I76" s="26">
        <f t="shared" si="7"/>
        <v>1.0657527166089993</v>
      </c>
      <c r="J76" s="26"/>
    </row>
    <row r="77" spans="1:10" x14ac:dyDescent="0.25">
      <c r="A77" s="21" t="s">
        <v>864</v>
      </c>
      <c r="B77" s="21">
        <v>72.47</v>
      </c>
      <c r="C77" s="21">
        <v>7.92</v>
      </c>
      <c r="D77" s="26">
        <v>8.8323529999999995</v>
      </c>
      <c r="E77" s="26">
        <v>75.746129999999994</v>
      </c>
      <c r="F77" s="26">
        <f t="shared" si="4"/>
        <v>-0.91235299999999953</v>
      </c>
      <c r="G77" s="26">
        <f t="shared" si="5"/>
        <v>-3.2761299999999949</v>
      </c>
      <c r="H77" s="26">
        <f t="shared" si="6"/>
        <v>2.9889870338899938</v>
      </c>
      <c r="I77" s="26">
        <f t="shared" si="7"/>
        <v>0.83238799660899909</v>
      </c>
      <c r="J77" s="26"/>
    </row>
    <row r="78" spans="1:10" x14ac:dyDescent="0.25">
      <c r="A78" s="21" t="s">
        <v>868</v>
      </c>
      <c r="B78" s="21">
        <v>75.13</v>
      </c>
      <c r="C78" s="21">
        <v>8.68</v>
      </c>
      <c r="D78" s="26">
        <v>8.8323529999999995</v>
      </c>
      <c r="E78" s="26">
        <v>75.746129999999994</v>
      </c>
      <c r="F78" s="26">
        <f t="shared" si="4"/>
        <v>-0.15235299999999974</v>
      </c>
      <c r="G78" s="26">
        <f t="shared" si="5"/>
        <v>-0.61612999999999829</v>
      </c>
      <c r="H78" s="26">
        <f t="shared" si="6"/>
        <v>9.3869253889999574E-2</v>
      </c>
      <c r="I78" s="26">
        <f t="shared" si="7"/>
        <v>2.3211436608999922E-2</v>
      </c>
      <c r="J78" s="26"/>
    </row>
    <row r="79" spans="1:10" x14ac:dyDescent="0.25">
      <c r="A79" s="21" t="s">
        <v>871</v>
      </c>
      <c r="B79" s="21">
        <v>73.44</v>
      </c>
      <c r="C79" s="21">
        <v>7.87</v>
      </c>
      <c r="D79" s="26">
        <v>8.8323529999999995</v>
      </c>
      <c r="E79" s="26">
        <v>75.746129999999994</v>
      </c>
      <c r="F79" s="26">
        <f t="shared" si="4"/>
        <v>-0.96235299999999935</v>
      </c>
      <c r="G79" s="26">
        <f t="shared" si="5"/>
        <v>-2.306129999999996</v>
      </c>
      <c r="H79" s="26">
        <f t="shared" si="6"/>
        <v>2.2193111238899945</v>
      </c>
      <c r="I79" s="26">
        <f t="shared" si="7"/>
        <v>0.92612329660899873</v>
      </c>
      <c r="J79" s="26"/>
    </row>
    <row r="80" spans="1:10" x14ac:dyDescent="0.25">
      <c r="A80" s="21" t="s">
        <v>875</v>
      </c>
      <c r="B80" s="21">
        <v>75.180000000000007</v>
      </c>
      <c r="C80" s="21">
        <v>8.26</v>
      </c>
      <c r="D80" s="26">
        <v>8.8323529999999995</v>
      </c>
      <c r="E80" s="26">
        <v>75.746129999999994</v>
      </c>
      <c r="F80" s="26">
        <f t="shared" si="4"/>
        <v>-0.57235299999999967</v>
      </c>
      <c r="G80" s="26">
        <f t="shared" si="5"/>
        <v>-0.56612999999998692</v>
      </c>
      <c r="H80" s="26">
        <f t="shared" si="6"/>
        <v>0.32402620388999231</v>
      </c>
      <c r="I80" s="26">
        <f t="shared" si="7"/>
        <v>0.32758795660899964</v>
      </c>
      <c r="J80" s="26"/>
    </row>
    <row r="81" spans="1:10" x14ac:dyDescent="0.25">
      <c r="A81" s="21" t="s">
        <v>878</v>
      </c>
      <c r="B81" s="21">
        <v>73.53</v>
      </c>
      <c r="C81" s="21">
        <v>7.8</v>
      </c>
      <c r="D81" s="26">
        <v>8.8323529999999995</v>
      </c>
      <c r="E81" s="26">
        <v>75.746129999999994</v>
      </c>
      <c r="F81" s="26">
        <f t="shared" si="4"/>
        <v>-1.0323529999999996</v>
      </c>
      <c r="G81" s="26">
        <f t="shared" si="5"/>
        <v>-2.2161299999999926</v>
      </c>
      <c r="H81" s="26">
        <f t="shared" si="6"/>
        <v>2.2878284538899916</v>
      </c>
      <c r="I81" s="26">
        <f t="shared" si="7"/>
        <v>1.0657527166089993</v>
      </c>
      <c r="J81" s="26"/>
    </row>
    <row r="82" spans="1:10" x14ac:dyDescent="0.25">
      <c r="A82" s="21" t="s">
        <v>882</v>
      </c>
      <c r="B82" s="21">
        <v>70.31</v>
      </c>
      <c r="C82" s="21">
        <v>7.27</v>
      </c>
      <c r="D82" s="26">
        <v>8.8323529999999995</v>
      </c>
      <c r="E82" s="26">
        <v>75.746129999999994</v>
      </c>
      <c r="F82" s="26">
        <f t="shared" si="4"/>
        <v>-1.5623529999999999</v>
      </c>
      <c r="G82" s="26">
        <f t="shared" si="5"/>
        <v>-5.4361299999999915</v>
      </c>
      <c r="H82" s="26">
        <f t="shared" si="6"/>
        <v>8.4931540138899866</v>
      </c>
      <c r="I82" s="26">
        <f t="shared" si="7"/>
        <v>2.4409468966089998</v>
      </c>
      <c r="J82" s="26"/>
    </row>
    <row r="83" spans="1:10" x14ac:dyDescent="0.25">
      <c r="A83" s="21" t="s">
        <v>885</v>
      </c>
      <c r="B83" s="21">
        <v>70.930000000000007</v>
      </c>
      <c r="C83" s="21">
        <v>6.54</v>
      </c>
      <c r="D83" s="26">
        <v>8.8323529999999995</v>
      </c>
      <c r="E83" s="26">
        <v>75.746129999999994</v>
      </c>
      <c r="F83" s="26">
        <f t="shared" si="4"/>
        <v>-2.2923529999999994</v>
      </c>
      <c r="G83" s="26">
        <f t="shared" si="5"/>
        <v>-4.8161299999999869</v>
      </c>
      <c r="H83" s="26">
        <f t="shared" si="6"/>
        <v>11.040270053889968</v>
      </c>
      <c r="I83" s="26">
        <f t="shared" si="7"/>
        <v>5.2548822766089973</v>
      </c>
      <c r="J83" s="26"/>
    </row>
    <row r="84" spans="1:10" x14ac:dyDescent="0.25">
      <c r="A84" s="21" t="s">
        <v>887</v>
      </c>
      <c r="B84" s="21">
        <v>74.3</v>
      </c>
      <c r="C84" s="21">
        <v>7.78</v>
      </c>
      <c r="D84" s="26">
        <v>8.8323529999999995</v>
      </c>
      <c r="E84" s="26">
        <v>75.746129999999994</v>
      </c>
      <c r="F84" s="26">
        <f t="shared" si="4"/>
        <v>-1.0523529999999992</v>
      </c>
      <c r="G84" s="26">
        <f t="shared" si="5"/>
        <v>-1.4461299999999966</v>
      </c>
      <c r="H84" s="26">
        <f t="shared" si="6"/>
        <v>1.5218392438899953</v>
      </c>
      <c r="I84" s="26">
        <f t="shared" si="7"/>
        <v>1.1074468366089982</v>
      </c>
      <c r="J84" s="26"/>
    </row>
    <row r="85" spans="1:10" x14ac:dyDescent="0.25">
      <c r="A85" s="21" t="s">
        <v>891</v>
      </c>
      <c r="B85" s="21">
        <v>71.22</v>
      </c>
      <c r="C85" s="21">
        <v>6.53</v>
      </c>
      <c r="D85" s="26">
        <v>8.8323529999999995</v>
      </c>
      <c r="E85" s="26">
        <v>75.746129999999994</v>
      </c>
      <c r="F85" s="26">
        <f t="shared" si="4"/>
        <v>-2.3023529999999992</v>
      </c>
      <c r="G85" s="26">
        <f t="shared" si="5"/>
        <v>-4.5261299999999949</v>
      </c>
      <c r="H85" s="26">
        <f t="shared" si="6"/>
        <v>10.420748983889984</v>
      </c>
      <c r="I85" s="26">
        <f t="shared" si="7"/>
        <v>5.300829336608996</v>
      </c>
      <c r="J85" s="26"/>
    </row>
    <row r="86" spans="1:10" x14ac:dyDescent="0.25">
      <c r="A86" s="21" t="s">
        <v>895</v>
      </c>
      <c r="B86" s="21">
        <v>71.22</v>
      </c>
      <c r="C86" s="21">
        <v>6.93</v>
      </c>
      <c r="D86" s="26">
        <v>8.8323529999999995</v>
      </c>
      <c r="E86" s="26">
        <v>75.746129999999994</v>
      </c>
      <c r="F86" s="26">
        <f t="shared" si="4"/>
        <v>-1.9023529999999997</v>
      </c>
      <c r="G86" s="26">
        <f t="shared" si="5"/>
        <v>-4.5261299999999949</v>
      </c>
      <c r="H86" s="26">
        <f t="shared" si="6"/>
        <v>8.6102969838899899</v>
      </c>
      <c r="I86" s="26">
        <f t="shared" si="7"/>
        <v>3.618946936608999</v>
      </c>
      <c r="J86" s="26"/>
    </row>
    <row r="87" spans="1:10" x14ac:dyDescent="0.25">
      <c r="A87" s="21" t="s">
        <v>898</v>
      </c>
      <c r="B87" s="21">
        <v>70.849999999999994</v>
      </c>
      <c r="C87" s="21">
        <v>6.31</v>
      </c>
      <c r="D87" s="26">
        <v>8.8323529999999995</v>
      </c>
      <c r="E87" s="26">
        <v>75.746129999999994</v>
      </c>
      <c r="F87" s="26">
        <f t="shared" si="4"/>
        <v>-2.5223529999999998</v>
      </c>
      <c r="G87" s="26">
        <f t="shared" si="5"/>
        <v>-4.8961299999999994</v>
      </c>
      <c r="H87" s="26">
        <f t="shared" si="6"/>
        <v>12.349768193889998</v>
      </c>
      <c r="I87" s="26">
        <f t="shared" si="7"/>
        <v>6.3622646566089989</v>
      </c>
      <c r="J87" s="26"/>
    </row>
    <row r="88" spans="1:10" x14ac:dyDescent="0.25">
      <c r="A88" s="21" t="s">
        <v>901</v>
      </c>
      <c r="B88" s="21">
        <v>72.36</v>
      </c>
      <c r="C88" s="21">
        <v>7.46</v>
      </c>
      <c r="D88" s="26">
        <v>8.8323529999999995</v>
      </c>
      <c r="E88" s="26">
        <v>75.746129999999994</v>
      </c>
      <c r="F88" s="26">
        <f t="shared" si="4"/>
        <v>-1.3723529999999995</v>
      </c>
      <c r="G88" s="26">
        <f t="shared" si="5"/>
        <v>-3.3861299999999943</v>
      </c>
      <c r="H88" s="26">
        <f t="shared" si="6"/>
        <v>4.6469656638899908</v>
      </c>
      <c r="I88" s="26">
        <f t="shared" si="7"/>
        <v>1.8833527566089987</v>
      </c>
      <c r="J88" s="26"/>
    </row>
    <row r="89" spans="1:10" x14ac:dyDescent="0.25">
      <c r="A89" s="21" t="s">
        <v>903</v>
      </c>
      <c r="B89" s="21">
        <v>82.67</v>
      </c>
      <c r="C89" s="21">
        <v>10.91</v>
      </c>
      <c r="D89" s="26">
        <v>8.8323529999999995</v>
      </c>
      <c r="E89" s="26">
        <v>75.746129999999994</v>
      </c>
      <c r="F89" s="26">
        <f t="shared" si="4"/>
        <v>2.0776470000000007</v>
      </c>
      <c r="G89" s="26">
        <f t="shared" si="5"/>
        <v>6.923870000000008</v>
      </c>
      <c r="H89" s="26">
        <f t="shared" si="6"/>
        <v>14.385357733890022</v>
      </c>
      <c r="I89" s="26">
        <f t="shared" si="7"/>
        <v>4.3166170566090027</v>
      </c>
      <c r="J89" s="26"/>
    </row>
    <row r="90" spans="1:10" x14ac:dyDescent="0.25">
      <c r="A90" s="21" t="s">
        <v>907</v>
      </c>
      <c r="B90" s="21">
        <v>76.69</v>
      </c>
      <c r="C90" s="21">
        <v>9.1300000000000008</v>
      </c>
      <c r="D90" s="26">
        <v>8.8323529999999995</v>
      </c>
      <c r="E90" s="26">
        <v>75.746129999999994</v>
      </c>
      <c r="F90" s="26">
        <f t="shared" si="4"/>
        <v>0.29764700000000133</v>
      </c>
      <c r="G90" s="26">
        <f t="shared" si="5"/>
        <v>0.94387000000000398</v>
      </c>
      <c r="H90" s="26">
        <f t="shared" si="6"/>
        <v>0.28094007389000242</v>
      </c>
      <c r="I90" s="26">
        <f t="shared" si="7"/>
        <v>8.8593736609000787E-2</v>
      </c>
      <c r="J90" s="26"/>
    </row>
    <row r="91" spans="1:10" x14ac:dyDescent="0.25">
      <c r="A91" s="21" t="s">
        <v>911</v>
      </c>
      <c r="B91" s="21">
        <v>75.67</v>
      </c>
      <c r="C91" s="21">
        <v>8.7799999999999994</v>
      </c>
      <c r="D91" s="26">
        <v>8.8323529999999995</v>
      </c>
      <c r="E91" s="26">
        <v>75.746129999999994</v>
      </c>
      <c r="F91" s="26">
        <f t="shared" si="4"/>
        <v>-5.2353000000000094E-2</v>
      </c>
      <c r="G91" s="26">
        <f t="shared" si="5"/>
        <v>-7.6129999999992037E-2</v>
      </c>
      <c r="H91" s="26">
        <f t="shared" si="6"/>
        <v>3.9856338899995902E-3</v>
      </c>
      <c r="I91" s="26">
        <f t="shared" si="7"/>
        <v>2.7408366090000097E-3</v>
      </c>
      <c r="J91" s="26"/>
    </row>
    <row r="92" spans="1:10" x14ac:dyDescent="0.25">
      <c r="A92" s="21" t="s">
        <v>914</v>
      </c>
      <c r="B92" s="21">
        <v>75.239999999999995</v>
      </c>
      <c r="C92" s="21">
        <v>8.25</v>
      </c>
      <c r="D92" s="26">
        <v>8.8323529999999995</v>
      </c>
      <c r="E92" s="26">
        <v>75.746129999999994</v>
      </c>
      <c r="F92" s="26">
        <f t="shared" si="4"/>
        <v>-0.58235299999999945</v>
      </c>
      <c r="G92" s="26">
        <f t="shared" si="5"/>
        <v>-0.50612999999999886</v>
      </c>
      <c r="H92" s="26">
        <f t="shared" si="6"/>
        <v>0.29474632388999905</v>
      </c>
      <c r="I92" s="26">
        <f t="shared" si="7"/>
        <v>0.33913501660899936</v>
      </c>
      <c r="J92" s="26"/>
    </row>
    <row r="93" spans="1:10" x14ac:dyDescent="0.25">
      <c r="A93" s="21" t="s">
        <v>918</v>
      </c>
      <c r="B93" s="21">
        <v>74.81</v>
      </c>
      <c r="C93" s="21">
        <v>8.1999999999999993</v>
      </c>
      <c r="D93" s="26">
        <v>8.8323529999999995</v>
      </c>
      <c r="E93" s="26">
        <v>75.746129999999994</v>
      </c>
      <c r="F93" s="26">
        <f t="shared" si="4"/>
        <v>-0.63235300000000016</v>
      </c>
      <c r="G93" s="26">
        <f t="shared" si="5"/>
        <v>-0.93612999999999147</v>
      </c>
      <c r="H93" s="26">
        <f t="shared" si="6"/>
        <v>0.59196461388999477</v>
      </c>
      <c r="I93" s="26">
        <f t="shared" si="7"/>
        <v>0.39987031660900019</v>
      </c>
      <c r="J93" s="26"/>
    </row>
    <row r="94" spans="1:10" x14ac:dyDescent="0.25">
      <c r="A94" s="21" t="s">
        <v>921</v>
      </c>
      <c r="B94" s="21">
        <v>76.77</v>
      </c>
      <c r="C94" s="21">
        <v>8.69</v>
      </c>
      <c r="D94" s="26">
        <v>8.8323529999999995</v>
      </c>
      <c r="E94" s="26">
        <v>75.746129999999994</v>
      </c>
      <c r="F94" s="26">
        <f t="shared" si="4"/>
        <v>-0.14235299999999995</v>
      </c>
      <c r="G94" s="26">
        <f t="shared" si="5"/>
        <v>1.0238700000000023</v>
      </c>
      <c r="H94" s="26">
        <f t="shared" si="6"/>
        <v>-0.14575096611000027</v>
      </c>
      <c r="I94" s="26">
        <f t="shared" si="7"/>
        <v>2.0264376608999986E-2</v>
      </c>
      <c r="J94" s="26"/>
    </row>
    <row r="95" spans="1:10" x14ac:dyDescent="0.25">
      <c r="A95" s="21" t="s">
        <v>924</v>
      </c>
      <c r="B95" s="21">
        <v>73.91</v>
      </c>
      <c r="C95" s="21">
        <v>7.84</v>
      </c>
      <c r="D95" s="26">
        <v>8.8323529999999995</v>
      </c>
      <c r="E95" s="26">
        <v>75.746129999999994</v>
      </c>
      <c r="F95" s="26">
        <f t="shared" si="4"/>
        <v>-0.9923529999999996</v>
      </c>
      <c r="G95" s="26">
        <f t="shared" si="5"/>
        <v>-1.8361299999999972</v>
      </c>
      <c r="H95" s="26">
        <f t="shared" si="6"/>
        <v>1.8220891138899964</v>
      </c>
      <c r="I95" s="26">
        <f t="shared" si="7"/>
        <v>0.98476447660899924</v>
      </c>
      <c r="J95" s="26"/>
    </row>
    <row r="96" spans="1:10" x14ac:dyDescent="0.25">
      <c r="A96" s="21" t="s">
        <v>927</v>
      </c>
      <c r="B96" s="21">
        <v>72.75</v>
      </c>
      <c r="C96" s="21">
        <v>7.59</v>
      </c>
      <c r="D96" s="26">
        <v>8.8323529999999995</v>
      </c>
      <c r="E96" s="26">
        <v>75.746129999999994</v>
      </c>
      <c r="F96" s="26">
        <f t="shared" si="4"/>
        <v>-1.2423529999999996</v>
      </c>
      <c r="G96" s="26">
        <f t="shared" si="5"/>
        <v>-2.9961299999999937</v>
      </c>
      <c r="H96" s="26">
        <f t="shared" si="6"/>
        <v>3.7222510938899909</v>
      </c>
      <c r="I96" s="26">
        <f t="shared" si="7"/>
        <v>1.5434409766089989</v>
      </c>
      <c r="J96" s="26"/>
    </row>
    <row r="97" spans="1:10" x14ac:dyDescent="0.25">
      <c r="A97" s="21" t="s">
        <v>931</v>
      </c>
      <c r="B97" s="21">
        <v>72.31</v>
      </c>
      <c r="C97" s="21">
        <v>7.53</v>
      </c>
      <c r="D97" s="26">
        <v>8.8323529999999995</v>
      </c>
      <c r="E97" s="26">
        <v>75.746129999999994</v>
      </c>
      <c r="F97" s="26">
        <f t="shared" si="4"/>
        <v>-1.3023529999999992</v>
      </c>
      <c r="G97" s="26">
        <f t="shared" si="5"/>
        <v>-3.4361299999999915</v>
      </c>
      <c r="H97" s="26">
        <f t="shared" si="6"/>
        <v>4.4750542138899858</v>
      </c>
      <c r="I97" s="26">
        <f t="shared" si="7"/>
        <v>1.6961233366089978</v>
      </c>
      <c r="J97" s="26"/>
    </row>
    <row r="98" spans="1:10" x14ac:dyDescent="0.25">
      <c r="A98" s="21" t="s">
        <v>935</v>
      </c>
      <c r="B98" s="21">
        <v>75.900000000000006</v>
      </c>
      <c r="C98" s="21">
        <v>8.48</v>
      </c>
      <c r="D98" s="26">
        <v>8.8323529999999995</v>
      </c>
      <c r="E98" s="26">
        <v>75.746129999999994</v>
      </c>
      <c r="F98" s="26">
        <f t="shared" si="4"/>
        <v>-0.35235299999999903</v>
      </c>
      <c r="G98" s="26">
        <f t="shared" si="5"/>
        <v>0.15387000000001194</v>
      </c>
      <c r="H98" s="26">
        <f t="shared" si="6"/>
        <v>-5.421655611000406E-2</v>
      </c>
      <c r="I98" s="26">
        <f t="shared" si="7"/>
        <v>0.12415263660899932</v>
      </c>
      <c r="J98" s="26"/>
    </row>
    <row r="99" spans="1:10" x14ac:dyDescent="0.25">
      <c r="A99" s="21" t="s">
        <v>939</v>
      </c>
      <c r="B99" s="21">
        <v>78.930000000000007</v>
      </c>
      <c r="C99" s="21">
        <v>10.029999999999999</v>
      </c>
      <c r="D99" s="26">
        <v>8.8323529999999995</v>
      </c>
      <c r="E99" s="26">
        <v>75.746129999999994</v>
      </c>
      <c r="F99" s="26">
        <f t="shared" si="4"/>
        <v>1.1976469999999999</v>
      </c>
      <c r="G99" s="26">
        <f t="shared" si="5"/>
        <v>3.1838700000000131</v>
      </c>
      <c r="H99" s="26">
        <f t="shared" si="6"/>
        <v>3.8131523538900152</v>
      </c>
      <c r="I99" s="26">
        <f t="shared" si="7"/>
        <v>1.4343583366089998</v>
      </c>
      <c r="J99" s="26"/>
    </row>
    <row r="100" spans="1:10" x14ac:dyDescent="0.25">
      <c r="A100" s="21" t="s">
        <v>943</v>
      </c>
      <c r="B100" s="21">
        <v>67.33</v>
      </c>
      <c r="C100" s="21">
        <v>6.01</v>
      </c>
      <c r="D100" s="26">
        <v>8.8323529999999995</v>
      </c>
      <c r="E100" s="26">
        <v>75.746129999999994</v>
      </c>
      <c r="F100" s="26">
        <f t="shared" si="4"/>
        <v>-2.8223529999999997</v>
      </c>
      <c r="G100" s="26">
        <f t="shared" si="5"/>
        <v>-8.4161299999999954</v>
      </c>
      <c r="H100" s="26">
        <f t="shared" si="6"/>
        <v>23.753289753889984</v>
      </c>
      <c r="I100" s="26">
        <f t="shared" si="7"/>
        <v>7.9656764566089979</v>
      </c>
      <c r="J100" s="26"/>
    </row>
    <row r="101" spans="1:10" x14ac:dyDescent="0.25">
      <c r="A101" s="21" t="s">
        <v>946</v>
      </c>
      <c r="B101" s="21">
        <v>66.72</v>
      </c>
      <c r="C101" s="21">
        <v>5.08</v>
      </c>
      <c r="D101" s="26">
        <v>8.8323529999999995</v>
      </c>
      <c r="E101" s="26">
        <v>75.746129999999994</v>
      </c>
      <c r="F101" s="26">
        <f t="shared" si="4"/>
        <v>-3.7523529999999994</v>
      </c>
      <c r="G101" s="26">
        <f t="shared" si="5"/>
        <v>-9.0261299999999949</v>
      </c>
      <c r="H101" s="26">
        <f t="shared" si="6"/>
        <v>33.869225983889976</v>
      </c>
      <c r="I101" s="26">
        <f t="shared" si="7"/>
        <v>14.080153036608996</v>
      </c>
      <c r="J101" s="26"/>
    </row>
    <row r="102" spans="1:10" x14ac:dyDescent="0.25">
      <c r="A102" s="21" t="s">
        <v>949</v>
      </c>
      <c r="B102" s="21">
        <v>70.849999999999994</v>
      </c>
      <c r="C102" s="21">
        <v>7.17</v>
      </c>
      <c r="D102" s="26">
        <v>8.8323529999999995</v>
      </c>
      <c r="E102" s="26">
        <v>75.746129999999994</v>
      </c>
      <c r="F102" s="26">
        <f t="shared" si="4"/>
        <v>-1.6623529999999995</v>
      </c>
      <c r="G102" s="26">
        <f t="shared" si="5"/>
        <v>-4.8961299999999994</v>
      </c>
      <c r="H102" s="26">
        <f t="shared" si="6"/>
        <v>8.1390963938899965</v>
      </c>
      <c r="I102" s="26">
        <f t="shared" si="7"/>
        <v>2.7634174966089984</v>
      </c>
      <c r="J102" s="26"/>
    </row>
    <row r="103" spans="1:10" x14ac:dyDescent="0.25">
      <c r="A103" s="21" t="s">
        <v>952</v>
      </c>
      <c r="B103" s="21">
        <v>69.78</v>
      </c>
      <c r="C103" s="21">
        <v>6.1</v>
      </c>
      <c r="D103" s="26">
        <v>8.8323529999999995</v>
      </c>
      <c r="E103" s="26">
        <v>75.746129999999994</v>
      </c>
      <c r="F103" s="26">
        <f t="shared" si="4"/>
        <v>-2.7323529999999998</v>
      </c>
      <c r="G103" s="26">
        <f t="shared" si="5"/>
        <v>-5.9661299999999926</v>
      </c>
      <c r="H103" s="26">
        <f t="shared" si="6"/>
        <v>16.30157320388998</v>
      </c>
      <c r="I103" s="26">
        <f t="shared" si="7"/>
        <v>7.4657529166089986</v>
      </c>
      <c r="J103" s="26"/>
    </row>
    <row r="104" spans="1:10" x14ac:dyDescent="0.25">
      <c r="A104" s="21" t="s">
        <v>956</v>
      </c>
      <c r="B104" s="21">
        <v>81.88</v>
      </c>
      <c r="C104" s="21">
        <v>10.92</v>
      </c>
      <c r="D104" s="26">
        <v>8.8323529999999995</v>
      </c>
      <c r="E104" s="26">
        <v>75.746129999999994</v>
      </c>
      <c r="F104" s="26">
        <f t="shared" si="4"/>
        <v>2.0876470000000005</v>
      </c>
      <c r="G104" s="26">
        <f t="shared" si="5"/>
        <v>6.1338700000000017</v>
      </c>
      <c r="H104" s="26">
        <f t="shared" si="6"/>
        <v>12.805355303890007</v>
      </c>
      <c r="I104" s="26">
        <f t="shared" si="7"/>
        <v>4.3582699966090024</v>
      </c>
      <c r="J104" s="26"/>
    </row>
    <row r="105" spans="1:10" x14ac:dyDescent="0.25">
      <c r="A105" s="21" t="s">
        <v>960</v>
      </c>
      <c r="B105" s="21">
        <v>81.44</v>
      </c>
      <c r="C105" s="21">
        <v>10.82</v>
      </c>
      <c r="D105" s="26">
        <v>8.8323529999999995</v>
      </c>
      <c r="E105" s="26">
        <v>75.746129999999994</v>
      </c>
      <c r="F105" s="26">
        <f t="shared" si="4"/>
        <v>1.9876470000000008</v>
      </c>
      <c r="G105" s="26">
        <f t="shared" si="5"/>
        <v>5.693870000000004</v>
      </c>
      <c r="H105" s="26">
        <f t="shared" si="6"/>
        <v>11.317403623890012</v>
      </c>
      <c r="I105" s="26">
        <f t="shared" si="7"/>
        <v>3.9507405966090032</v>
      </c>
      <c r="J105" s="26"/>
    </row>
    <row r="106" spans="1:10" x14ac:dyDescent="0.25">
      <c r="A106" s="21" t="s">
        <v>964</v>
      </c>
      <c r="B106" s="21">
        <v>84.68</v>
      </c>
      <c r="C106" s="21">
        <v>11.14</v>
      </c>
      <c r="D106" s="26">
        <v>8.8323529999999995</v>
      </c>
      <c r="E106" s="26">
        <v>75.746129999999994</v>
      </c>
      <c r="F106" s="26">
        <f t="shared" si="4"/>
        <v>2.3076470000000011</v>
      </c>
      <c r="G106" s="26">
        <f t="shared" si="5"/>
        <v>8.9338700000000131</v>
      </c>
      <c r="H106" s="26">
        <f t="shared" si="6"/>
        <v>20.61621830389004</v>
      </c>
      <c r="I106" s="26">
        <f t="shared" si="7"/>
        <v>5.3252346766090053</v>
      </c>
      <c r="J106" s="26"/>
    </row>
    <row r="107" spans="1:10" x14ac:dyDescent="0.25">
      <c r="A107" s="21" t="s">
        <v>968</v>
      </c>
      <c r="B107" s="21">
        <v>77.790000000000006</v>
      </c>
      <c r="C107" s="21">
        <v>9.7200000000000006</v>
      </c>
      <c r="D107" s="26">
        <v>8.8323529999999995</v>
      </c>
      <c r="E107" s="26">
        <v>75.746129999999994</v>
      </c>
      <c r="F107" s="26">
        <f t="shared" si="4"/>
        <v>0.88764700000000119</v>
      </c>
      <c r="G107" s="26">
        <f t="shared" si="5"/>
        <v>2.0438700000000125</v>
      </c>
      <c r="H107" s="26">
        <f t="shared" si="6"/>
        <v>1.8142350738900135</v>
      </c>
      <c r="I107" s="26">
        <f t="shared" si="7"/>
        <v>0.78791719660900206</v>
      </c>
      <c r="J107" s="26"/>
    </row>
    <row r="108" spans="1:10" x14ac:dyDescent="0.25">
      <c r="A108" s="21" t="s">
        <v>971</v>
      </c>
      <c r="B108" s="21">
        <v>78.900000000000006</v>
      </c>
      <c r="C108" s="21">
        <v>9.94</v>
      </c>
      <c r="D108" s="26">
        <v>8.8323529999999995</v>
      </c>
      <c r="E108" s="26">
        <v>75.746129999999994</v>
      </c>
      <c r="F108" s="26">
        <f t="shared" si="4"/>
        <v>1.107647</v>
      </c>
      <c r="G108" s="26">
        <f t="shared" si="5"/>
        <v>3.1538700000000119</v>
      </c>
      <c r="H108" s="26">
        <f t="shared" si="6"/>
        <v>3.4933746438900135</v>
      </c>
      <c r="I108" s="26">
        <f t="shared" si="7"/>
        <v>1.2268818766090002</v>
      </c>
      <c r="J108" s="26"/>
    </row>
    <row r="109" spans="1:10" x14ac:dyDescent="0.25">
      <c r="A109" s="21" t="s">
        <v>973</v>
      </c>
      <c r="B109" s="21">
        <v>81.760000000000005</v>
      </c>
      <c r="C109" s="21">
        <v>11.38</v>
      </c>
      <c r="D109" s="26">
        <v>8.8323529999999995</v>
      </c>
      <c r="E109" s="26">
        <v>75.746129999999994</v>
      </c>
      <c r="F109" s="26">
        <f t="shared" si="4"/>
        <v>2.5476470000000013</v>
      </c>
      <c r="G109" s="26">
        <f t="shared" si="5"/>
        <v>6.0138700000000114</v>
      </c>
      <c r="H109" s="26">
        <f t="shared" si="6"/>
        <v>15.321217863890038</v>
      </c>
      <c r="I109" s="26">
        <f t="shared" si="7"/>
        <v>6.4905052366090068</v>
      </c>
      <c r="J109" s="26"/>
    </row>
    <row r="110" spans="1:10" x14ac:dyDescent="0.25">
      <c r="A110" s="21" t="s">
        <v>977</v>
      </c>
      <c r="B110" s="21">
        <v>84.51</v>
      </c>
      <c r="C110" s="21">
        <v>12.11</v>
      </c>
      <c r="D110" s="26">
        <v>8.8323529999999995</v>
      </c>
      <c r="E110" s="26">
        <v>75.746129999999994</v>
      </c>
      <c r="F110" s="26">
        <f t="shared" si="4"/>
        <v>3.277647</v>
      </c>
      <c r="G110" s="26">
        <f t="shared" si="5"/>
        <v>8.7638700000000114</v>
      </c>
      <c r="H110" s="26">
        <f t="shared" si="6"/>
        <v>28.724872213890038</v>
      </c>
      <c r="I110" s="26">
        <f t="shared" si="7"/>
        <v>10.742969856608999</v>
      </c>
      <c r="J110" s="26"/>
    </row>
    <row r="111" spans="1:10" x14ac:dyDescent="0.25">
      <c r="A111" s="21" t="s">
        <v>980</v>
      </c>
      <c r="B111" s="21">
        <v>84.69</v>
      </c>
      <c r="C111" s="21">
        <v>10.89</v>
      </c>
      <c r="D111" s="26">
        <v>8.8323529999999995</v>
      </c>
      <c r="E111" s="26">
        <v>75.746129999999994</v>
      </c>
      <c r="F111" s="26">
        <f t="shared" si="4"/>
        <v>2.0576470000000011</v>
      </c>
      <c r="G111" s="26">
        <f t="shared" si="5"/>
        <v>8.943870000000004</v>
      </c>
      <c r="H111" s="26">
        <f t="shared" si="6"/>
        <v>18.403327273890017</v>
      </c>
      <c r="I111" s="26">
        <f t="shared" si="7"/>
        <v>4.2339111766090047</v>
      </c>
      <c r="J111" s="26"/>
    </row>
    <row r="112" spans="1:10" x14ac:dyDescent="0.25">
      <c r="A112" s="21" t="s">
        <v>984</v>
      </c>
      <c r="B112" s="21">
        <v>79.69</v>
      </c>
      <c r="C112" s="21">
        <v>9.8699999999999992</v>
      </c>
      <c r="D112" s="26">
        <v>8.8323529999999995</v>
      </c>
      <c r="E112" s="26">
        <v>75.746129999999994</v>
      </c>
      <c r="F112" s="26">
        <f t="shared" si="4"/>
        <v>1.0376469999999998</v>
      </c>
      <c r="G112" s="26">
        <f t="shared" si="5"/>
        <v>3.943870000000004</v>
      </c>
      <c r="H112" s="26">
        <f t="shared" si="6"/>
        <v>4.0923448738900028</v>
      </c>
      <c r="I112" s="26">
        <f t="shared" si="7"/>
        <v>1.0767112966089996</v>
      </c>
      <c r="J112" s="26"/>
    </row>
    <row r="113" spans="1:10" x14ac:dyDescent="0.25">
      <c r="A113" s="21" t="s">
        <v>988</v>
      </c>
      <c r="B113" s="21">
        <v>70.88</v>
      </c>
      <c r="C113" s="21">
        <v>7.16</v>
      </c>
      <c r="D113" s="26">
        <v>8.8323529999999995</v>
      </c>
      <c r="E113" s="26">
        <v>75.746129999999994</v>
      </c>
      <c r="F113" s="26">
        <f t="shared" si="4"/>
        <v>-1.6723529999999993</v>
      </c>
      <c r="G113" s="26">
        <f t="shared" si="5"/>
        <v>-4.8661299999999983</v>
      </c>
      <c r="H113" s="26">
        <f t="shared" si="6"/>
        <v>8.1378871038899945</v>
      </c>
      <c r="I113" s="26">
        <f t="shared" si="7"/>
        <v>2.7967645566089976</v>
      </c>
      <c r="J113" s="26"/>
    </row>
    <row r="114" spans="1:10" x14ac:dyDescent="0.25">
      <c r="A114" s="21" t="s">
        <v>990</v>
      </c>
      <c r="B114" s="21">
        <v>68.33</v>
      </c>
      <c r="C114" s="21">
        <v>6.61</v>
      </c>
      <c r="D114" s="26">
        <v>8.8323529999999995</v>
      </c>
      <c r="E114" s="26">
        <v>75.746129999999994</v>
      </c>
      <c r="F114" s="26">
        <f t="shared" si="4"/>
        <v>-2.2223529999999991</v>
      </c>
      <c r="G114" s="26">
        <f t="shared" si="5"/>
        <v>-7.4161299999999954</v>
      </c>
      <c r="H114" s="26">
        <f t="shared" si="6"/>
        <v>16.481258753889982</v>
      </c>
      <c r="I114" s="26">
        <f t="shared" si="7"/>
        <v>4.938852856608996</v>
      </c>
      <c r="J114" s="26"/>
    </row>
    <row r="115" spans="1:10" x14ac:dyDescent="0.25">
      <c r="A115" s="21" t="s">
        <v>994</v>
      </c>
      <c r="B115" s="21">
        <v>76.19</v>
      </c>
      <c r="C115" s="21">
        <v>9.06</v>
      </c>
      <c r="D115" s="26">
        <v>8.8323529999999995</v>
      </c>
      <c r="E115" s="26">
        <v>75.746129999999994</v>
      </c>
      <c r="F115" s="26">
        <f t="shared" si="4"/>
        <v>0.22764700000000104</v>
      </c>
      <c r="G115" s="26">
        <f t="shared" si="5"/>
        <v>0.44387000000000398</v>
      </c>
      <c r="H115" s="26">
        <f t="shared" si="6"/>
        <v>0.10104567389000137</v>
      </c>
      <c r="I115" s="26">
        <f t="shared" si="7"/>
        <v>5.1823156609000477E-2</v>
      </c>
      <c r="J115" s="26"/>
    </row>
    <row r="116" spans="1:10" x14ac:dyDescent="0.25">
      <c r="A116" s="21" t="s">
        <v>998</v>
      </c>
      <c r="B116" s="21">
        <v>73.28</v>
      </c>
      <c r="C116" s="21">
        <v>7.88</v>
      </c>
      <c r="D116" s="26">
        <v>8.8323529999999995</v>
      </c>
      <c r="E116" s="26">
        <v>75.746129999999994</v>
      </c>
      <c r="F116" s="26">
        <f t="shared" si="4"/>
        <v>-0.95235299999999956</v>
      </c>
      <c r="G116" s="26">
        <f t="shared" si="5"/>
        <v>-2.4661299999999926</v>
      </c>
      <c r="H116" s="26">
        <f t="shared" si="6"/>
        <v>2.3486263038899917</v>
      </c>
      <c r="I116" s="26">
        <f t="shared" si="7"/>
        <v>0.90697623660899918</v>
      </c>
      <c r="J116" s="26"/>
    </row>
    <row r="117" spans="1:10" x14ac:dyDescent="0.25">
      <c r="A117" s="21" t="s">
        <v>1002</v>
      </c>
      <c r="B117" s="21">
        <v>81.53</v>
      </c>
      <c r="C117" s="21">
        <v>11.14</v>
      </c>
      <c r="D117" s="26">
        <v>8.8323529999999995</v>
      </c>
      <c r="E117" s="26">
        <v>75.746129999999994</v>
      </c>
      <c r="F117" s="26">
        <f t="shared" si="4"/>
        <v>2.3076470000000011</v>
      </c>
      <c r="G117" s="26">
        <f t="shared" si="5"/>
        <v>5.7838700000000074</v>
      </c>
      <c r="H117" s="26">
        <f t="shared" si="6"/>
        <v>13.347130253890024</v>
      </c>
      <c r="I117" s="26">
        <f t="shared" si="7"/>
        <v>5.3252346766090053</v>
      </c>
      <c r="J117" s="26"/>
    </row>
    <row r="118" spans="1:10" x14ac:dyDescent="0.25">
      <c r="A118" s="21" t="s">
        <v>1005</v>
      </c>
      <c r="B118" s="21">
        <v>78.83</v>
      </c>
      <c r="C118" s="21">
        <v>10.39</v>
      </c>
      <c r="D118" s="26">
        <v>8.8323529999999995</v>
      </c>
      <c r="E118" s="26">
        <v>75.746129999999994</v>
      </c>
      <c r="F118" s="26">
        <f t="shared" si="4"/>
        <v>1.5576470000000011</v>
      </c>
      <c r="G118" s="26">
        <f t="shared" si="5"/>
        <v>3.0838700000000046</v>
      </c>
      <c r="H118" s="26">
        <f t="shared" si="6"/>
        <v>4.8035808538900104</v>
      </c>
      <c r="I118" s="26">
        <f t="shared" si="7"/>
        <v>2.4262641766090036</v>
      </c>
      <c r="J118" s="26"/>
    </row>
    <row r="119" spans="1:10" x14ac:dyDescent="0.25">
      <c r="A119" s="21" t="s">
        <v>1009</v>
      </c>
      <c r="B119" s="21">
        <v>76.900000000000006</v>
      </c>
      <c r="C119" s="21">
        <v>8.93</v>
      </c>
      <c r="D119" s="26">
        <v>8.8323529999999995</v>
      </c>
      <c r="E119" s="26">
        <v>75.746129999999994</v>
      </c>
      <c r="F119" s="26">
        <f t="shared" si="4"/>
        <v>9.7647000000000261E-2</v>
      </c>
      <c r="G119" s="26">
        <f t="shared" si="5"/>
        <v>1.1538700000000119</v>
      </c>
      <c r="H119" s="26">
        <f t="shared" si="6"/>
        <v>0.11267194389000147</v>
      </c>
      <c r="I119" s="26">
        <f t="shared" si="7"/>
        <v>9.5349366090000508E-3</v>
      </c>
      <c r="J119" s="26"/>
    </row>
    <row r="120" spans="1:10" x14ac:dyDescent="0.25">
      <c r="A120" s="21" t="s">
        <v>1013</v>
      </c>
      <c r="B120" s="21">
        <v>84.16</v>
      </c>
      <c r="C120" s="21">
        <v>11.86</v>
      </c>
      <c r="D120" s="26">
        <v>8.8323529999999995</v>
      </c>
      <c r="E120" s="26">
        <v>75.746129999999994</v>
      </c>
      <c r="F120" s="26">
        <f t="shared" si="4"/>
        <v>3.027647</v>
      </c>
      <c r="G120" s="26">
        <f t="shared" si="5"/>
        <v>8.4138700000000028</v>
      </c>
      <c r="H120" s="26">
        <f t="shared" si="6"/>
        <v>25.474228263890009</v>
      </c>
      <c r="I120" s="26">
        <f t="shared" si="7"/>
        <v>9.1666463566090002</v>
      </c>
      <c r="J120" s="26"/>
    </row>
    <row r="121" spans="1:10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</row>
    <row r="122" spans="1:10" x14ac:dyDescent="0.25">
      <c r="A122" s="26"/>
      <c r="B122" s="26"/>
      <c r="C122" s="26"/>
      <c r="D122" s="26"/>
      <c r="E122" s="26"/>
      <c r="F122" s="26"/>
      <c r="G122" s="26"/>
      <c r="H122" s="26">
        <f>SUM(H2:H120)</f>
        <v>917.66998235290976</v>
      </c>
      <c r="I122" s="26">
        <f>SUM(I2:I120)</f>
        <v>319.19214117647095</v>
      </c>
      <c r="J12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topLeftCell="A180" workbookViewId="0">
      <selection activeCell="C519" sqref="C519"/>
    </sheetView>
  </sheetViews>
  <sheetFormatPr defaultColWidth="12.6328125" defaultRowHeight="15.75" customHeight="1" x14ac:dyDescent="0.25"/>
  <sheetData>
    <row r="1" spans="1:60" ht="42.5" customHeight="1" x14ac:dyDescent="0.3">
      <c r="A1" s="14" t="s">
        <v>0</v>
      </c>
      <c r="B1" s="16" t="s">
        <v>1</v>
      </c>
      <c r="C1" s="11" t="s">
        <v>2</v>
      </c>
      <c r="D1" s="12"/>
      <c r="E1" s="12"/>
      <c r="F1" s="12"/>
      <c r="G1" s="13"/>
      <c r="H1" s="17" t="s">
        <v>3</v>
      </c>
      <c r="I1" s="12"/>
      <c r="J1" s="12"/>
      <c r="K1" s="12"/>
      <c r="L1" s="13"/>
      <c r="M1" s="11" t="s">
        <v>4</v>
      </c>
      <c r="N1" s="12"/>
      <c r="O1" s="12"/>
      <c r="P1" s="12"/>
      <c r="Q1" s="13"/>
      <c r="R1" s="18" t="s">
        <v>5</v>
      </c>
      <c r="S1" s="12"/>
      <c r="T1" s="12"/>
      <c r="U1" s="12"/>
      <c r="V1" s="13"/>
      <c r="W1" s="19" t="s">
        <v>6</v>
      </c>
      <c r="X1" s="12"/>
      <c r="Y1" s="12"/>
      <c r="Z1" s="12"/>
      <c r="AA1" s="13"/>
      <c r="AB1" s="20" t="s">
        <v>7</v>
      </c>
      <c r="AC1" s="12"/>
      <c r="AD1" s="13"/>
      <c r="AE1" s="11" t="s">
        <v>8</v>
      </c>
      <c r="AF1" s="12"/>
      <c r="AG1" s="12"/>
      <c r="AH1" s="12"/>
      <c r="AI1" s="13"/>
      <c r="AJ1" s="18" t="s">
        <v>9</v>
      </c>
      <c r="AK1" s="12"/>
      <c r="AL1" s="12"/>
      <c r="AM1" s="12"/>
      <c r="AN1" s="13"/>
      <c r="AO1" s="11" t="s">
        <v>10</v>
      </c>
      <c r="AP1" s="12"/>
      <c r="AQ1" s="12"/>
      <c r="AR1" s="12"/>
      <c r="AS1" s="13"/>
      <c r="AT1" s="18" t="s">
        <v>11</v>
      </c>
      <c r="AU1" s="12"/>
      <c r="AV1" s="12"/>
      <c r="AW1" s="12"/>
      <c r="AX1" s="13"/>
      <c r="AY1" s="11" t="s">
        <v>12</v>
      </c>
      <c r="AZ1" s="12"/>
      <c r="BA1" s="12"/>
      <c r="BB1" s="12"/>
      <c r="BC1" s="13"/>
      <c r="BD1" s="1"/>
      <c r="BE1" s="2"/>
      <c r="BF1" s="2"/>
      <c r="BG1" s="2"/>
      <c r="BH1" s="2"/>
    </row>
    <row r="2" spans="1:60" ht="13" x14ac:dyDescent="0.3">
      <c r="A2" s="15"/>
      <c r="B2" s="15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anindya</dc:creator>
  <cp:lastModifiedBy>Rachel Anindya Aulia Safitri</cp:lastModifiedBy>
  <dcterms:created xsi:type="dcterms:W3CDTF">2026-02-04T04:45:21Z</dcterms:created>
  <dcterms:modified xsi:type="dcterms:W3CDTF">2026-02-06T07:40:43Z</dcterms:modified>
</cp:coreProperties>
</file>